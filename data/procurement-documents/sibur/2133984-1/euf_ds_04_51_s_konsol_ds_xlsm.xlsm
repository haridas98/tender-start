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omments1.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6" codeName="{00000000-0000-0000-0000-000000000000}"/>
  <workbookPr codeName="ЭтаКнига" defaultThemeVersion="124226"/>
  <mc:AlternateContent xmlns:mc="http://schemas.openxmlformats.org/markup-compatibility/2006">
    <mc:Choice Requires="x15">
      <x15ac:absPath xmlns:x15ac="http://schemas.microsoft.com/office/spreadsheetml/2010/11/ac" url="C:\Users\KarginDV\Desktop\Рабочие материалы\Актуализация 1 кв. 2025 г\АКТУАЛИЗАЦИЯ\Excel _после_ макроса\"/>
    </mc:Choice>
  </mc:AlternateContent>
  <xr:revisionPtr revIDLastSave="0" documentId="8_{6AEBA3EA-663B-46ED-8CF8-5F448A9709DD}" xr6:coauthVersionLast="36" xr6:coauthVersionMax="36" xr10:uidLastSave="{00000000-0000-0000-0000-000000000000}"/>
  <bookViews>
    <workbookView xWindow="0" yWindow="0" windowWidth="19200" windowHeight="7060" tabRatio="656" firstSheet="2" activeTab="2" xr2:uid="{00000000-000D-0000-FFFF-FFFF00000000}"/>
  </bookViews>
  <sheets>
    <sheet name="ДС" sheetId="163" r:id="rId1"/>
    <sheet name="Форма ввода" sheetId="162" state="hidden" r:id="rId2"/>
    <sheet name="ДС (консолид.ДС)" sheetId="166" r:id="rId3"/>
    <sheet name="Форма ввода (консолид.ДС)" sheetId="167" r:id="rId4"/>
    <sheet name="Инструкция по заполнению" sheetId="165" state="hidden" r:id="rId5"/>
    <sheet name="Справочник" sheetId="164" state="hidden" r:id="rId6"/>
  </sheets>
  <definedNames>
    <definedName name="_xlnm._FilterDatabase" localSheetId="0" hidden="1">ДС!$A$9:$P$9</definedName>
    <definedName name="_xlnm._FilterDatabase" localSheetId="2" hidden="1">'ДС (консолид.ДС)'!$A$7:$Q$7</definedName>
    <definedName name="_xlnm._FilterDatabase" localSheetId="5" hidden="1">Справочник!$A$1:$U$97</definedName>
    <definedName name="Грузополучатель_БАП">Справочник!$T$2:$T$7</definedName>
    <definedName name="Грузополучатель_СНХ">Справочник!$U$2:$U$7</definedName>
    <definedName name="Грузополучатель_СТГ">Справочник!$S$2:$S$20</definedName>
    <definedName name="Датой_поставки_считается_Конс">Справочник!$Q$2:$Q$7,Справочник!$Q$8,Справочник!$Q$9</definedName>
    <definedName name="_xlnm.Print_Area" localSheetId="0">ДС!$A$1:$P$171</definedName>
    <definedName name="_xlnm.Print_Area" localSheetId="2">'ДС (консолид.ДС)'!$A$1:$R$317</definedName>
    <definedName name="Постоплата">Справочник!$L$3</definedName>
    <definedName name="Постоплата_исключение">Справочник!$O$3</definedName>
    <definedName name="Постоплата_Многостор">Справочник!$L$7</definedName>
    <definedName name="Предоплата">Справочник!$L$4:$L$4</definedName>
    <definedName name="Предоплата_исключение">Справочник!$O$4:$O$5</definedName>
    <definedName name="Предоплата_Многостор">Справочник!$L$8</definedName>
    <definedName name="Таблица" localSheetId="2">'ДС (консолид.ДС)'!$A$7:$Q$87</definedName>
    <definedName name="Таблица">ДС!$A$9:$P$37</definedName>
    <definedName name="Частичнаяпредоплата">Справочник!$L$5:$L$5</definedName>
    <definedName name="Частичнаяпредоплата_исключение">Справочник!$O$6:$O$8</definedName>
    <definedName name="Частичнаяпредоплата_Многостор">Справочник!$L$9</definedName>
  </definedNames>
  <calcPr calcId="191028" calcCompleted="0"/>
</workbook>
</file>

<file path=xl/calcChain.xml><?xml version="1.0" encoding="utf-8"?>
<calcChain xmlns="http://schemas.openxmlformats.org/spreadsheetml/2006/main">
  <c r="E298" i="166" l="1"/>
  <c r="E297" i="166"/>
  <c r="B295" i="166"/>
  <c r="B293" i="166"/>
  <c r="E150" i="163"/>
  <c r="E149" i="163"/>
  <c r="B147" i="163"/>
  <c r="B145" i="163"/>
  <c r="L4" i="164"/>
  <c r="C38" i="167"/>
  <c r="L9" i="164"/>
  <c r="L8" i="164"/>
  <c r="L7" i="164"/>
  <c r="C38" i="162"/>
  <c r="L5" i="164"/>
  <c r="L3" i="164"/>
  <c r="J258" i="166"/>
  <c r="J259" i="166"/>
  <c r="J260" i="166"/>
  <c r="J261" i="166"/>
  <c r="J262" i="166"/>
  <c r="J263" i="166"/>
  <c r="J264" i="166"/>
  <c r="J265" i="166"/>
  <c r="J266" i="166"/>
  <c r="J257" i="166"/>
  <c r="I257" i="166"/>
  <c r="K257" i="166"/>
  <c r="J247" i="166"/>
  <c r="I247" i="166"/>
  <c r="K247" i="166"/>
  <c r="L247" i="166"/>
  <c r="M247" i="166"/>
  <c r="N247" i="166"/>
  <c r="J248" i="166"/>
  <c r="I248" i="166"/>
  <c r="K248" i="166"/>
  <c r="L248" i="166"/>
  <c r="M248" i="166"/>
  <c r="N248" i="166"/>
  <c r="J249" i="166"/>
  <c r="J250" i="166"/>
  <c r="J251" i="166"/>
  <c r="J252" i="166"/>
  <c r="J253" i="166"/>
  <c r="J254" i="166"/>
  <c r="J255" i="166"/>
  <c r="J246" i="166"/>
  <c r="J241" i="166"/>
  <c r="J242" i="166"/>
  <c r="I242" i="166"/>
  <c r="K242" i="166"/>
  <c r="L242" i="166"/>
  <c r="M242" i="166"/>
  <c r="N242" i="166"/>
  <c r="J243" i="166"/>
  <c r="I243" i="166"/>
  <c r="K243" i="166"/>
  <c r="L243" i="166"/>
  <c r="M243" i="166"/>
  <c r="N243" i="166"/>
  <c r="J244" i="166"/>
  <c r="I244" i="166"/>
  <c r="K244" i="166"/>
  <c r="L244" i="166"/>
  <c r="M244" i="166"/>
  <c r="N244" i="166"/>
  <c r="J240" i="166"/>
  <c r="J236" i="166"/>
  <c r="J237" i="166"/>
  <c r="J238" i="166"/>
  <c r="J239" i="166"/>
  <c r="J235" i="166"/>
  <c r="J225" i="166"/>
  <c r="J226" i="166"/>
  <c r="J227" i="166"/>
  <c r="J228" i="166"/>
  <c r="I228" i="166"/>
  <c r="K228" i="166"/>
  <c r="J229" i="166"/>
  <c r="I229" i="166"/>
  <c r="K229" i="166"/>
  <c r="L229" i="166"/>
  <c r="M229" i="166"/>
  <c r="N229" i="166"/>
  <c r="J230" i="166"/>
  <c r="I230" i="166"/>
  <c r="K230" i="166"/>
  <c r="L230" i="166"/>
  <c r="M230" i="166"/>
  <c r="N230" i="166"/>
  <c r="J231" i="166"/>
  <c r="J232" i="166"/>
  <c r="J233" i="166"/>
  <c r="J224" i="166"/>
  <c r="J214" i="166"/>
  <c r="J215" i="166"/>
  <c r="J216" i="166"/>
  <c r="J217" i="166"/>
  <c r="J218" i="166"/>
  <c r="J219" i="166"/>
  <c r="J220" i="166"/>
  <c r="I220" i="166"/>
  <c r="K220" i="166"/>
  <c r="L220" i="166"/>
  <c r="M220" i="166"/>
  <c r="N220" i="166"/>
  <c r="J221" i="166"/>
  <c r="I221" i="166"/>
  <c r="K221" i="166"/>
  <c r="L221" i="166"/>
  <c r="M221" i="166"/>
  <c r="N221" i="166"/>
  <c r="J222" i="166"/>
  <c r="J213" i="166"/>
  <c r="J203" i="166"/>
  <c r="J204" i="166"/>
  <c r="J205" i="166"/>
  <c r="J206" i="166"/>
  <c r="J207" i="166"/>
  <c r="J208" i="166"/>
  <c r="J209" i="166"/>
  <c r="J210" i="166"/>
  <c r="J211" i="166"/>
  <c r="I211" i="166"/>
  <c r="K211" i="166"/>
  <c r="L211" i="166"/>
  <c r="M211" i="166"/>
  <c r="N211" i="166"/>
  <c r="J202" i="166"/>
  <c r="I202" i="166"/>
  <c r="K202" i="166"/>
  <c r="J192" i="166"/>
  <c r="J193" i="166"/>
  <c r="J194" i="166"/>
  <c r="J195" i="166"/>
  <c r="J196" i="166"/>
  <c r="J197" i="166"/>
  <c r="J198" i="166"/>
  <c r="J199" i="166"/>
  <c r="J200" i="166"/>
  <c r="J191" i="166"/>
  <c r="I191" i="166"/>
  <c r="K191" i="166"/>
  <c r="J178" i="166"/>
  <c r="I178" i="166"/>
  <c r="K178" i="166"/>
  <c r="L178" i="166"/>
  <c r="M178" i="166"/>
  <c r="N178" i="166"/>
  <c r="J179" i="166"/>
  <c r="I179" i="166"/>
  <c r="K179" i="166"/>
  <c r="L179" i="166"/>
  <c r="M179" i="166"/>
  <c r="N179" i="166"/>
  <c r="J180" i="166"/>
  <c r="J181" i="166"/>
  <c r="J182" i="166"/>
  <c r="J183" i="166"/>
  <c r="J184" i="166"/>
  <c r="J185" i="166"/>
  <c r="J186" i="166"/>
  <c r="J177" i="166"/>
  <c r="J175" i="166"/>
  <c r="J174" i="166"/>
  <c r="I174" i="166"/>
  <c r="K174" i="166"/>
  <c r="L174" i="166"/>
  <c r="M174" i="166"/>
  <c r="N174" i="166"/>
  <c r="J167" i="166"/>
  <c r="I167" i="166"/>
  <c r="K167" i="166"/>
  <c r="J168" i="166"/>
  <c r="I168" i="166"/>
  <c r="K168" i="166"/>
  <c r="L168" i="166"/>
  <c r="M168" i="166"/>
  <c r="N168" i="166"/>
  <c r="J169" i="166"/>
  <c r="J170" i="166"/>
  <c r="J171" i="166"/>
  <c r="J172" i="166"/>
  <c r="J173" i="166"/>
  <c r="J166" i="166"/>
  <c r="J156" i="166"/>
  <c r="J157" i="166"/>
  <c r="J158" i="166"/>
  <c r="J159" i="166"/>
  <c r="I159" i="166"/>
  <c r="K159" i="166"/>
  <c r="J160" i="166"/>
  <c r="I160" i="166"/>
  <c r="K160" i="166"/>
  <c r="L160" i="166"/>
  <c r="M160" i="166"/>
  <c r="N160" i="166"/>
  <c r="J161" i="166"/>
  <c r="I161" i="166"/>
  <c r="K161" i="166"/>
  <c r="L161" i="166"/>
  <c r="M161" i="166"/>
  <c r="N161" i="166"/>
  <c r="J162" i="166"/>
  <c r="J163" i="166"/>
  <c r="J164" i="166"/>
  <c r="J155" i="166"/>
  <c r="J145" i="166"/>
  <c r="J146" i="166"/>
  <c r="J147" i="166"/>
  <c r="J148" i="166"/>
  <c r="J149" i="166"/>
  <c r="J150" i="166"/>
  <c r="I150" i="166"/>
  <c r="K150" i="166"/>
  <c r="J151" i="166"/>
  <c r="I151" i="166"/>
  <c r="K151" i="166"/>
  <c r="L151" i="166"/>
  <c r="M151" i="166"/>
  <c r="N151" i="166"/>
  <c r="J152" i="166"/>
  <c r="I152" i="166"/>
  <c r="K152" i="166"/>
  <c r="L152" i="166"/>
  <c r="M152" i="166"/>
  <c r="N152" i="166"/>
  <c r="J153" i="166"/>
  <c r="J144" i="166"/>
  <c r="J134" i="166"/>
  <c r="J135" i="166"/>
  <c r="J136" i="166"/>
  <c r="J137" i="166"/>
  <c r="J138" i="166"/>
  <c r="J139" i="166"/>
  <c r="J140" i="166"/>
  <c r="J141" i="166"/>
  <c r="I141" i="166"/>
  <c r="K141" i="166"/>
  <c r="L141" i="166"/>
  <c r="M141" i="166"/>
  <c r="N141" i="166"/>
  <c r="J142" i="166"/>
  <c r="I142" i="166"/>
  <c r="K142" i="166"/>
  <c r="L142" i="166"/>
  <c r="M142" i="166"/>
  <c r="N142" i="166"/>
  <c r="J133" i="166"/>
  <c r="I133" i="166"/>
  <c r="K133" i="166"/>
  <c r="J123" i="166"/>
  <c r="J124" i="166"/>
  <c r="J125" i="166"/>
  <c r="J126" i="166"/>
  <c r="J127" i="166"/>
  <c r="J128" i="166"/>
  <c r="J129" i="166"/>
  <c r="J130" i="166"/>
  <c r="J131" i="166"/>
  <c r="J122" i="166"/>
  <c r="J112" i="166"/>
  <c r="I112" i="166"/>
  <c r="K112" i="166"/>
  <c r="J113" i="166"/>
  <c r="I113" i="166"/>
  <c r="K113" i="166"/>
  <c r="L113" i="166"/>
  <c r="M113" i="166"/>
  <c r="N113" i="166"/>
  <c r="J114" i="166"/>
  <c r="J115" i="166"/>
  <c r="J116" i="166"/>
  <c r="J117" i="166"/>
  <c r="J118" i="166"/>
  <c r="J119" i="166"/>
  <c r="J120" i="166"/>
  <c r="J111" i="166"/>
  <c r="J95" i="163"/>
  <c r="J96" i="163"/>
  <c r="I96" i="163"/>
  <c r="K96" i="163"/>
  <c r="L96" i="163"/>
  <c r="M96" i="163"/>
  <c r="N96" i="163"/>
  <c r="J97" i="163"/>
  <c r="I97" i="163"/>
  <c r="K97" i="163"/>
  <c r="L97" i="163"/>
  <c r="M97" i="163"/>
  <c r="N97" i="163"/>
  <c r="J98" i="163"/>
  <c r="I98" i="163"/>
  <c r="K98" i="163"/>
  <c r="L98" i="163"/>
  <c r="M98" i="163"/>
  <c r="N98" i="163"/>
  <c r="J99" i="163"/>
  <c r="J100" i="163"/>
  <c r="I100" i="163"/>
  <c r="K100" i="163"/>
  <c r="L100" i="163"/>
  <c r="M100" i="163"/>
  <c r="N100" i="163"/>
  <c r="J101" i="163"/>
  <c r="I101" i="163"/>
  <c r="K101" i="163"/>
  <c r="L101" i="163"/>
  <c r="M101" i="163"/>
  <c r="N101" i="163"/>
  <c r="J102" i="163"/>
  <c r="J103" i="163"/>
  <c r="J104" i="163"/>
  <c r="I104" i="163"/>
  <c r="K104" i="163"/>
  <c r="L104" i="163"/>
  <c r="M104" i="163"/>
  <c r="N104" i="163"/>
  <c r="J105" i="163"/>
  <c r="I105" i="163"/>
  <c r="K105" i="163"/>
  <c r="L105" i="163"/>
  <c r="M105" i="163"/>
  <c r="N105" i="163"/>
  <c r="J106" i="163"/>
  <c r="J107" i="163"/>
  <c r="J108" i="163"/>
  <c r="I108" i="163"/>
  <c r="K108" i="163"/>
  <c r="L108" i="163"/>
  <c r="M108" i="163"/>
  <c r="N108" i="163"/>
  <c r="J109" i="163"/>
  <c r="I109" i="163"/>
  <c r="K109" i="163"/>
  <c r="L109" i="163"/>
  <c r="M109" i="163"/>
  <c r="N109" i="163"/>
  <c r="J110" i="163"/>
  <c r="I110" i="163"/>
  <c r="K110" i="163"/>
  <c r="L110" i="163"/>
  <c r="M110" i="163"/>
  <c r="N110" i="163"/>
  <c r="J111" i="163"/>
  <c r="I111" i="163"/>
  <c r="K111" i="163"/>
  <c r="L111" i="163"/>
  <c r="M111" i="163"/>
  <c r="N111" i="163"/>
  <c r="J112" i="163"/>
  <c r="J113" i="163"/>
  <c r="I113" i="163"/>
  <c r="K113" i="163"/>
  <c r="L113" i="163"/>
  <c r="M113" i="163"/>
  <c r="N113" i="163"/>
  <c r="J114" i="163"/>
  <c r="J115" i="163"/>
  <c r="I115" i="163"/>
  <c r="K115" i="163"/>
  <c r="L115" i="163"/>
  <c r="M115" i="163"/>
  <c r="N115" i="163"/>
  <c r="J116" i="163"/>
  <c r="J117" i="163"/>
  <c r="I117" i="163"/>
  <c r="K117" i="163"/>
  <c r="L117" i="163"/>
  <c r="M117" i="163"/>
  <c r="N117" i="163"/>
  <c r="J118" i="163"/>
  <c r="J94" i="163"/>
  <c r="J83" i="163"/>
  <c r="I83" i="163"/>
  <c r="K83" i="163"/>
  <c r="L83" i="163"/>
  <c r="M83" i="163"/>
  <c r="N83" i="163"/>
  <c r="J84" i="163"/>
  <c r="I84" i="163"/>
  <c r="K84" i="163"/>
  <c r="L84" i="163"/>
  <c r="M84" i="163"/>
  <c r="N84" i="163"/>
  <c r="J85" i="163"/>
  <c r="I85" i="163"/>
  <c r="K85" i="163"/>
  <c r="L85" i="163"/>
  <c r="M85" i="163"/>
  <c r="N85" i="163"/>
  <c r="J86" i="163"/>
  <c r="I86" i="163"/>
  <c r="K86" i="163"/>
  <c r="L86" i="163"/>
  <c r="M86" i="163"/>
  <c r="N86" i="163"/>
  <c r="J87" i="163"/>
  <c r="J88" i="163"/>
  <c r="I88" i="163"/>
  <c r="K88" i="163"/>
  <c r="L88" i="163"/>
  <c r="M88" i="163"/>
  <c r="N88" i="163"/>
  <c r="J89" i="163"/>
  <c r="I89" i="163"/>
  <c r="K89" i="163"/>
  <c r="L89" i="163"/>
  <c r="M89" i="163"/>
  <c r="N89" i="163"/>
  <c r="J90" i="163"/>
  <c r="I90" i="163"/>
  <c r="K90" i="163"/>
  <c r="L90" i="163"/>
  <c r="M90" i="163"/>
  <c r="N90" i="163"/>
  <c r="J82" i="163"/>
  <c r="J67" i="163"/>
  <c r="I67" i="163"/>
  <c r="K67" i="163"/>
  <c r="L67" i="163"/>
  <c r="M67" i="163"/>
  <c r="N67" i="163"/>
  <c r="J68" i="163"/>
  <c r="J69" i="163"/>
  <c r="J70" i="163"/>
  <c r="I70" i="163"/>
  <c r="K70" i="163"/>
  <c r="L70" i="163"/>
  <c r="M70" i="163"/>
  <c r="N70" i="163"/>
  <c r="J71" i="163"/>
  <c r="I71" i="163"/>
  <c r="K71" i="163"/>
  <c r="L71" i="163"/>
  <c r="M71" i="163"/>
  <c r="N71" i="163"/>
  <c r="J72" i="163"/>
  <c r="I72" i="163"/>
  <c r="K72" i="163"/>
  <c r="L72" i="163"/>
  <c r="M72" i="163"/>
  <c r="N72" i="163"/>
  <c r="J73" i="163"/>
  <c r="I73" i="163"/>
  <c r="K73" i="163"/>
  <c r="L73" i="163"/>
  <c r="M73" i="163"/>
  <c r="N73" i="163"/>
  <c r="J74" i="163"/>
  <c r="J75" i="163"/>
  <c r="I75" i="163"/>
  <c r="K75" i="163"/>
  <c r="L75" i="163"/>
  <c r="M75" i="163"/>
  <c r="N75" i="163"/>
  <c r="J76" i="163"/>
  <c r="I76" i="163"/>
  <c r="K76" i="163"/>
  <c r="L76" i="163"/>
  <c r="M76" i="163"/>
  <c r="N76" i="163"/>
  <c r="J77" i="163"/>
  <c r="I77" i="163"/>
  <c r="K77" i="163"/>
  <c r="L77" i="163"/>
  <c r="M77" i="163"/>
  <c r="N77" i="163"/>
  <c r="J78" i="163"/>
  <c r="J79" i="163"/>
  <c r="I79" i="163"/>
  <c r="K79" i="163"/>
  <c r="L79" i="163"/>
  <c r="M79" i="163"/>
  <c r="N79" i="163"/>
  <c r="J80" i="163"/>
  <c r="J81" i="163"/>
  <c r="J66" i="163"/>
  <c r="I66" i="163"/>
  <c r="K66" i="163"/>
  <c r="L66" i="163"/>
  <c r="M66" i="163"/>
  <c r="N66" i="163"/>
  <c r="B277" i="166"/>
  <c r="B275" i="166"/>
  <c r="B128" i="163"/>
  <c r="B126" i="163"/>
  <c r="B124" i="163"/>
  <c r="B309" i="166"/>
  <c r="B308" i="166"/>
  <c r="I163" i="163"/>
  <c r="B163" i="163"/>
  <c r="I160" i="163"/>
  <c r="A5" i="163"/>
  <c r="C34" i="167"/>
  <c r="B97" i="166"/>
  <c r="C34" i="162"/>
  <c r="B51" i="163"/>
  <c r="Q9" i="164"/>
  <c r="J306" i="166"/>
  <c r="B90" i="166"/>
  <c r="A271" i="166"/>
  <c r="A292" i="166"/>
  <c r="A291" i="166"/>
  <c r="A290" i="166"/>
  <c r="A289" i="166"/>
  <c r="A288" i="166"/>
  <c r="A287" i="166"/>
  <c r="A286" i="166"/>
  <c r="A285" i="166"/>
  <c r="A284" i="166"/>
  <c r="A283" i="166"/>
  <c r="A282" i="166"/>
  <c r="A281" i="166"/>
  <c r="A280" i="166"/>
  <c r="A279" i="166"/>
  <c r="A278" i="166"/>
  <c r="A273" i="166"/>
  <c r="A272" i="166"/>
  <c r="K12" i="166"/>
  <c r="M12" i="166"/>
  <c r="N12" i="166"/>
  <c r="S12" i="166"/>
  <c r="T12" i="166"/>
  <c r="K13" i="166"/>
  <c r="K8" i="166"/>
  <c r="K9" i="166"/>
  <c r="K10" i="166"/>
  <c r="K11" i="166"/>
  <c r="K14" i="166"/>
  <c r="K15" i="166"/>
  <c r="K16" i="166"/>
  <c r="K17" i="166"/>
  <c r="K18" i="166"/>
  <c r="S13" i="166"/>
  <c r="T13" i="166"/>
  <c r="M14" i="166"/>
  <c r="N14" i="166"/>
  <c r="S14" i="166"/>
  <c r="T14" i="166"/>
  <c r="M15" i="166"/>
  <c r="N15" i="166"/>
  <c r="S15" i="166"/>
  <c r="T15" i="166"/>
  <c r="M16" i="166"/>
  <c r="N16" i="166"/>
  <c r="S16" i="166"/>
  <c r="T16" i="166"/>
  <c r="M17" i="166"/>
  <c r="N17" i="166"/>
  <c r="S17" i="166"/>
  <c r="T17" i="166"/>
  <c r="T83" i="166"/>
  <c r="S83" i="166"/>
  <c r="T82" i="166"/>
  <c r="S82" i="166"/>
  <c r="T81" i="166"/>
  <c r="S81" i="166"/>
  <c r="T80" i="166"/>
  <c r="S80" i="166"/>
  <c r="T79" i="166"/>
  <c r="S79" i="166"/>
  <c r="T78" i="166"/>
  <c r="S78" i="166"/>
  <c r="T77" i="166"/>
  <c r="S77" i="166"/>
  <c r="T76" i="166"/>
  <c r="S76" i="166"/>
  <c r="T75" i="166"/>
  <c r="S75" i="166"/>
  <c r="T74" i="166"/>
  <c r="S74" i="166"/>
  <c r="T72" i="166"/>
  <c r="S72" i="166"/>
  <c r="T71" i="166"/>
  <c r="S71" i="166"/>
  <c r="T70" i="166"/>
  <c r="S70" i="166"/>
  <c r="T69" i="166"/>
  <c r="S69" i="166"/>
  <c r="T68" i="166"/>
  <c r="S68" i="166"/>
  <c r="T67" i="166"/>
  <c r="S67" i="166"/>
  <c r="T66" i="166"/>
  <c r="S66" i="166"/>
  <c r="T65" i="166"/>
  <c r="S65" i="166"/>
  <c r="T64" i="166"/>
  <c r="S64" i="166"/>
  <c r="T63" i="166"/>
  <c r="S63" i="166"/>
  <c r="T61" i="166"/>
  <c r="S61" i="166"/>
  <c r="T60" i="166"/>
  <c r="S60" i="166"/>
  <c r="T59" i="166"/>
  <c r="S59" i="166"/>
  <c r="T58" i="166"/>
  <c r="S58" i="166"/>
  <c r="T57" i="166"/>
  <c r="S57" i="166"/>
  <c r="T56" i="166"/>
  <c r="S56" i="166"/>
  <c r="T55" i="166"/>
  <c r="S55" i="166"/>
  <c r="T54" i="166"/>
  <c r="S54" i="166"/>
  <c r="T53" i="166"/>
  <c r="S53" i="166"/>
  <c r="T52" i="166"/>
  <c r="S52" i="166"/>
  <c r="T50" i="166"/>
  <c r="S50" i="166"/>
  <c r="T49" i="166"/>
  <c r="S49" i="166"/>
  <c r="T48" i="166"/>
  <c r="S48" i="166"/>
  <c r="T47" i="166"/>
  <c r="S47" i="166"/>
  <c r="T46" i="166"/>
  <c r="S46" i="166"/>
  <c r="T45" i="166"/>
  <c r="S45" i="166"/>
  <c r="T44" i="166"/>
  <c r="S44" i="166"/>
  <c r="T43" i="166"/>
  <c r="S43" i="166"/>
  <c r="T42" i="166"/>
  <c r="S42" i="166"/>
  <c r="T41" i="166"/>
  <c r="S41" i="166"/>
  <c r="S31" i="166"/>
  <c r="T31" i="166"/>
  <c r="S32" i="166"/>
  <c r="T32" i="166"/>
  <c r="S33" i="166"/>
  <c r="T33" i="166"/>
  <c r="S34" i="166"/>
  <c r="T34" i="166"/>
  <c r="S35" i="166"/>
  <c r="T35" i="166"/>
  <c r="S36" i="166"/>
  <c r="T36" i="166"/>
  <c r="S37" i="166"/>
  <c r="T37" i="166"/>
  <c r="S38" i="166"/>
  <c r="T38" i="166"/>
  <c r="S39" i="166"/>
  <c r="T39" i="166"/>
  <c r="T30" i="166"/>
  <c r="S30" i="166"/>
  <c r="S20" i="166"/>
  <c r="T20" i="166"/>
  <c r="S21" i="166"/>
  <c r="T21" i="166"/>
  <c r="S22" i="166"/>
  <c r="T22" i="166"/>
  <c r="S23" i="166"/>
  <c r="T23" i="166"/>
  <c r="S24" i="166"/>
  <c r="T24" i="166"/>
  <c r="S25" i="166"/>
  <c r="T25" i="166"/>
  <c r="S26" i="166"/>
  <c r="T26" i="166"/>
  <c r="S27" i="166"/>
  <c r="T27" i="166"/>
  <c r="S28" i="166"/>
  <c r="T28" i="166"/>
  <c r="T19" i="166"/>
  <c r="S19" i="166"/>
  <c r="T9" i="166"/>
  <c r="T10" i="166"/>
  <c r="T11" i="166"/>
  <c r="S9" i="166"/>
  <c r="S10" i="166"/>
  <c r="S11" i="166"/>
  <c r="T8" i="166"/>
  <c r="S8" i="166"/>
  <c r="I192" i="166"/>
  <c r="K192" i="166"/>
  <c r="L192" i="166"/>
  <c r="M192" i="166"/>
  <c r="N192" i="166"/>
  <c r="I193" i="166"/>
  <c r="K193" i="166"/>
  <c r="L193" i="166"/>
  <c r="M193" i="166"/>
  <c r="N193" i="166"/>
  <c r="I194" i="166"/>
  <c r="K194" i="166"/>
  <c r="L194" i="166"/>
  <c r="M194" i="166"/>
  <c r="N194" i="166"/>
  <c r="I195" i="166"/>
  <c r="K195" i="166"/>
  <c r="L195" i="166"/>
  <c r="M195" i="166"/>
  <c r="N195" i="166"/>
  <c r="I196" i="166"/>
  <c r="K196" i="166"/>
  <c r="L196" i="166"/>
  <c r="M196" i="166"/>
  <c r="N196" i="166"/>
  <c r="I197" i="166"/>
  <c r="K197" i="166"/>
  <c r="L197" i="166"/>
  <c r="M197" i="166"/>
  <c r="N197" i="166"/>
  <c r="I198" i="166"/>
  <c r="K198" i="166"/>
  <c r="L198" i="166"/>
  <c r="M198" i="166"/>
  <c r="N198" i="166"/>
  <c r="I199" i="166"/>
  <c r="K199" i="166"/>
  <c r="L199" i="166"/>
  <c r="M199" i="166"/>
  <c r="N199" i="166"/>
  <c r="I200" i="166"/>
  <c r="K200" i="166"/>
  <c r="L200" i="166"/>
  <c r="M200" i="166"/>
  <c r="N200" i="166"/>
  <c r="L202" i="166"/>
  <c r="I203" i="166"/>
  <c r="K203" i="166"/>
  <c r="L203" i="166"/>
  <c r="M203" i="166"/>
  <c r="N203" i="166"/>
  <c r="I204" i="166"/>
  <c r="K204" i="166"/>
  <c r="L204" i="166"/>
  <c r="M204" i="166"/>
  <c r="N204" i="166"/>
  <c r="I205" i="166"/>
  <c r="K205" i="166"/>
  <c r="L205" i="166"/>
  <c r="M205" i="166"/>
  <c r="N205" i="166"/>
  <c r="I206" i="166"/>
  <c r="K206" i="166"/>
  <c r="L206" i="166"/>
  <c r="M206" i="166"/>
  <c r="N206" i="166"/>
  <c r="I207" i="166"/>
  <c r="K207" i="166"/>
  <c r="L207" i="166"/>
  <c r="M207" i="166"/>
  <c r="N207" i="166"/>
  <c r="I208" i="166"/>
  <c r="K208" i="166"/>
  <c r="L208" i="166"/>
  <c r="M208" i="166"/>
  <c r="N208" i="166"/>
  <c r="I209" i="166"/>
  <c r="K209" i="166"/>
  <c r="L209" i="166"/>
  <c r="M209" i="166"/>
  <c r="N209" i="166"/>
  <c r="I210" i="166"/>
  <c r="K210" i="166"/>
  <c r="L210" i="166"/>
  <c r="M210" i="166"/>
  <c r="N210" i="166"/>
  <c r="I213" i="166"/>
  <c r="K213" i="166"/>
  <c r="L213" i="166"/>
  <c r="M213" i="166"/>
  <c r="N213" i="166"/>
  <c r="I214" i="166"/>
  <c r="K214" i="166"/>
  <c r="I215" i="166"/>
  <c r="K215" i="166"/>
  <c r="L215" i="166"/>
  <c r="M215" i="166"/>
  <c r="N215" i="166"/>
  <c r="I216" i="166"/>
  <c r="K216" i="166"/>
  <c r="L216" i="166"/>
  <c r="M216" i="166"/>
  <c r="N216" i="166"/>
  <c r="I217" i="166"/>
  <c r="K217" i="166"/>
  <c r="L217" i="166"/>
  <c r="M217" i="166"/>
  <c r="N217" i="166"/>
  <c r="I218" i="166"/>
  <c r="K218" i="166"/>
  <c r="L218" i="166"/>
  <c r="M218" i="166"/>
  <c r="N218" i="166"/>
  <c r="I219" i="166"/>
  <c r="K219" i="166"/>
  <c r="L219" i="166"/>
  <c r="M219" i="166"/>
  <c r="N219" i="166"/>
  <c r="I222" i="166"/>
  <c r="K222" i="166"/>
  <c r="L222" i="166"/>
  <c r="M222" i="166"/>
  <c r="N222" i="166"/>
  <c r="I224" i="166"/>
  <c r="K224" i="166"/>
  <c r="L224" i="166"/>
  <c r="M224" i="166"/>
  <c r="I225" i="166"/>
  <c r="K225" i="166"/>
  <c r="L225" i="166"/>
  <c r="M225" i="166"/>
  <c r="N225" i="166"/>
  <c r="I226" i="166"/>
  <c r="L226" i="166"/>
  <c r="I227" i="166"/>
  <c r="K227" i="166"/>
  <c r="L227" i="166"/>
  <c r="M227" i="166"/>
  <c r="N227" i="166"/>
  <c r="L228" i="166"/>
  <c r="I231" i="166"/>
  <c r="K231" i="166"/>
  <c r="L231" i="166"/>
  <c r="M231" i="166"/>
  <c r="N231" i="166"/>
  <c r="I232" i="166"/>
  <c r="K232" i="166"/>
  <c r="L232" i="166"/>
  <c r="M232" i="166"/>
  <c r="N232" i="166"/>
  <c r="I233" i="166"/>
  <c r="K233" i="166"/>
  <c r="L233" i="166"/>
  <c r="M233" i="166"/>
  <c r="N233" i="166"/>
  <c r="I235" i="166"/>
  <c r="K235" i="166"/>
  <c r="L235" i="166"/>
  <c r="M235" i="166"/>
  <c r="I237" i="166"/>
  <c r="K237" i="166"/>
  <c r="L237" i="166"/>
  <c r="M237" i="166"/>
  <c r="N237" i="166"/>
  <c r="I238" i="166"/>
  <c r="K238" i="166"/>
  <c r="L238" i="166"/>
  <c r="M238" i="166"/>
  <c r="N238" i="166"/>
  <c r="I239" i="166"/>
  <c r="I236" i="166"/>
  <c r="K236" i="166"/>
  <c r="L236" i="166"/>
  <c r="M236" i="166"/>
  <c r="N236" i="166"/>
  <c r="I240" i="166"/>
  <c r="K240" i="166"/>
  <c r="L240" i="166"/>
  <c r="M240" i="166"/>
  <c r="N240" i="166"/>
  <c r="I241" i="166"/>
  <c r="K241" i="166"/>
  <c r="L241" i="166"/>
  <c r="M241" i="166"/>
  <c r="N241" i="166"/>
  <c r="I246" i="166"/>
  <c r="K246" i="166"/>
  <c r="L246" i="166"/>
  <c r="M246" i="166"/>
  <c r="N246" i="166"/>
  <c r="I249" i="166"/>
  <c r="K249" i="166"/>
  <c r="L249" i="166"/>
  <c r="M249" i="166"/>
  <c r="N249" i="166"/>
  <c r="I250" i="166"/>
  <c r="K250" i="166"/>
  <c r="L250" i="166"/>
  <c r="M250" i="166"/>
  <c r="N250" i="166"/>
  <c r="I251" i="166"/>
  <c r="K251" i="166"/>
  <c r="L251" i="166"/>
  <c r="M251" i="166"/>
  <c r="N251" i="166"/>
  <c r="I252" i="166"/>
  <c r="K252" i="166"/>
  <c r="L252" i="166"/>
  <c r="M252" i="166"/>
  <c r="N252" i="166"/>
  <c r="I253" i="166"/>
  <c r="K253" i="166"/>
  <c r="L253" i="166"/>
  <c r="M253" i="166"/>
  <c r="N253" i="166"/>
  <c r="I254" i="166"/>
  <c r="K254" i="166"/>
  <c r="L254" i="166"/>
  <c r="M254" i="166"/>
  <c r="N254" i="166"/>
  <c r="I255" i="166"/>
  <c r="K255" i="166"/>
  <c r="L255" i="166"/>
  <c r="M255" i="166"/>
  <c r="N255" i="166"/>
  <c r="L257" i="166"/>
  <c r="I258" i="166"/>
  <c r="K258" i="166"/>
  <c r="L258" i="166"/>
  <c r="M258" i="166"/>
  <c r="N258" i="166"/>
  <c r="I259" i="166"/>
  <c r="K259" i="166"/>
  <c r="L259" i="166"/>
  <c r="M259" i="166"/>
  <c r="N259" i="166"/>
  <c r="I260" i="166"/>
  <c r="K260" i="166"/>
  <c r="L260" i="166"/>
  <c r="M260" i="166"/>
  <c r="N260" i="166"/>
  <c r="I261" i="166"/>
  <c r="K261" i="166"/>
  <c r="L261" i="166"/>
  <c r="M261" i="166"/>
  <c r="N261" i="166"/>
  <c r="I262" i="166"/>
  <c r="K262" i="166"/>
  <c r="L262" i="166"/>
  <c r="M262" i="166"/>
  <c r="N262" i="166"/>
  <c r="I264" i="166"/>
  <c r="K264" i="166"/>
  <c r="L264" i="166"/>
  <c r="M264" i="166"/>
  <c r="N264" i="166"/>
  <c r="I266" i="166"/>
  <c r="K266" i="166"/>
  <c r="L266" i="166"/>
  <c r="M266" i="166"/>
  <c r="N266" i="166"/>
  <c r="A233" i="166"/>
  <c r="B233" i="166"/>
  <c r="C233" i="166"/>
  <c r="D233" i="166"/>
  <c r="E233" i="166"/>
  <c r="F233" i="166"/>
  <c r="G233" i="166"/>
  <c r="H233" i="166"/>
  <c r="O233" i="166"/>
  <c r="A235" i="166"/>
  <c r="B235" i="166"/>
  <c r="C235" i="166"/>
  <c r="D235" i="166"/>
  <c r="E235" i="166"/>
  <c r="F235" i="166"/>
  <c r="G235" i="166"/>
  <c r="H235" i="166"/>
  <c r="O235" i="166"/>
  <c r="A236" i="166"/>
  <c r="B236" i="166"/>
  <c r="C236" i="166"/>
  <c r="D236" i="166"/>
  <c r="E236" i="166"/>
  <c r="F236" i="166"/>
  <c r="G236" i="166"/>
  <c r="H236" i="166"/>
  <c r="O236" i="166"/>
  <c r="A237" i="166"/>
  <c r="B237" i="166"/>
  <c r="C237" i="166"/>
  <c r="D237" i="166"/>
  <c r="E237" i="166"/>
  <c r="F237" i="166"/>
  <c r="G237" i="166"/>
  <c r="H237" i="166"/>
  <c r="O237" i="166"/>
  <c r="A238" i="166"/>
  <c r="B238" i="166"/>
  <c r="C238" i="166"/>
  <c r="D238" i="166"/>
  <c r="E238" i="166"/>
  <c r="F238" i="166"/>
  <c r="G238" i="166"/>
  <c r="H238" i="166"/>
  <c r="O238" i="166"/>
  <c r="A239" i="166"/>
  <c r="B239" i="166"/>
  <c r="C239" i="166"/>
  <c r="D239" i="166"/>
  <c r="E239" i="166"/>
  <c r="F239" i="166"/>
  <c r="G239" i="166"/>
  <c r="H239" i="166"/>
  <c r="L239" i="166"/>
  <c r="O239" i="166"/>
  <c r="A240" i="166"/>
  <c r="B240" i="166"/>
  <c r="C240" i="166"/>
  <c r="D240" i="166"/>
  <c r="E240" i="166"/>
  <c r="F240" i="166"/>
  <c r="G240" i="166"/>
  <c r="H240" i="166"/>
  <c r="O240" i="166"/>
  <c r="A241" i="166"/>
  <c r="B241" i="166"/>
  <c r="C241" i="166"/>
  <c r="D241" i="166"/>
  <c r="E241" i="166"/>
  <c r="F241" i="166"/>
  <c r="G241" i="166"/>
  <c r="H241" i="166"/>
  <c r="O241" i="166"/>
  <c r="A242" i="166"/>
  <c r="B242" i="166"/>
  <c r="C242" i="166"/>
  <c r="D242" i="166"/>
  <c r="E242" i="166"/>
  <c r="F242" i="166"/>
  <c r="G242" i="166"/>
  <c r="H242" i="166"/>
  <c r="O242" i="166"/>
  <c r="A243" i="166"/>
  <c r="B243" i="166"/>
  <c r="C243" i="166"/>
  <c r="D243" i="166"/>
  <c r="E243" i="166"/>
  <c r="F243" i="166"/>
  <c r="G243" i="166"/>
  <c r="H243" i="166"/>
  <c r="O243" i="166"/>
  <c r="A244" i="166"/>
  <c r="B244" i="166"/>
  <c r="C244" i="166"/>
  <c r="D244" i="166"/>
  <c r="E244" i="166"/>
  <c r="F244" i="166"/>
  <c r="G244" i="166"/>
  <c r="H244" i="166"/>
  <c r="O244" i="166"/>
  <c r="A246" i="166"/>
  <c r="B246" i="166"/>
  <c r="C246" i="166"/>
  <c r="D246" i="166"/>
  <c r="E246" i="166"/>
  <c r="F246" i="166"/>
  <c r="G246" i="166"/>
  <c r="H246" i="166"/>
  <c r="O246" i="166"/>
  <c r="A247" i="166"/>
  <c r="B247" i="166"/>
  <c r="C247" i="166"/>
  <c r="D247" i="166"/>
  <c r="E247" i="166"/>
  <c r="F247" i="166"/>
  <c r="G247" i="166"/>
  <c r="H247" i="166"/>
  <c r="O247" i="166"/>
  <c r="A248" i="166"/>
  <c r="B248" i="166"/>
  <c r="C248" i="166"/>
  <c r="D248" i="166"/>
  <c r="E248" i="166"/>
  <c r="F248" i="166"/>
  <c r="G248" i="166"/>
  <c r="H248" i="166"/>
  <c r="O248" i="166"/>
  <c r="A249" i="166"/>
  <c r="B249" i="166"/>
  <c r="C249" i="166"/>
  <c r="D249" i="166"/>
  <c r="E249" i="166"/>
  <c r="F249" i="166"/>
  <c r="G249" i="166"/>
  <c r="H249" i="166"/>
  <c r="O249" i="166"/>
  <c r="A250" i="166"/>
  <c r="B250" i="166"/>
  <c r="C250" i="166"/>
  <c r="D250" i="166"/>
  <c r="E250" i="166"/>
  <c r="F250" i="166"/>
  <c r="G250" i="166"/>
  <c r="H250" i="166"/>
  <c r="O250" i="166"/>
  <c r="A251" i="166"/>
  <c r="B251" i="166"/>
  <c r="C251" i="166"/>
  <c r="D251" i="166"/>
  <c r="E251" i="166"/>
  <c r="F251" i="166"/>
  <c r="G251" i="166"/>
  <c r="H251" i="166"/>
  <c r="O251" i="166"/>
  <c r="A252" i="166"/>
  <c r="B252" i="166"/>
  <c r="C252" i="166"/>
  <c r="D252" i="166"/>
  <c r="E252" i="166"/>
  <c r="F252" i="166"/>
  <c r="G252" i="166"/>
  <c r="H252" i="166"/>
  <c r="O252" i="166"/>
  <c r="A253" i="166"/>
  <c r="B253" i="166"/>
  <c r="C253" i="166"/>
  <c r="D253" i="166"/>
  <c r="E253" i="166"/>
  <c r="F253" i="166"/>
  <c r="G253" i="166"/>
  <c r="H253" i="166"/>
  <c r="O253" i="166"/>
  <c r="A254" i="166"/>
  <c r="B254" i="166"/>
  <c r="C254" i="166"/>
  <c r="D254" i="166"/>
  <c r="E254" i="166"/>
  <c r="F254" i="166"/>
  <c r="G254" i="166"/>
  <c r="H254" i="166"/>
  <c r="O254" i="166"/>
  <c r="A255" i="166"/>
  <c r="B255" i="166"/>
  <c r="C255" i="166"/>
  <c r="D255" i="166"/>
  <c r="E255" i="166"/>
  <c r="F255" i="166"/>
  <c r="G255" i="166"/>
  <c r="H255" i="166"/>
  <c r="O255" i="166"/>
  <c r="A257" i="166"/>
  <c r="B257" i="166"/>
  <c r="C257" i="166"/>
  <c r="D257" i="166"/>
  <c r="E257" i="166"/>
  <c r="F257" i="166"/>
  <c r="G257" i="166"/>
  <c r="H257" i="166"/>
  <c r="O257" i="166"/>
  <c r="A258" i="166"/>
  <c r="B258" i="166"/>
  <c r="C258" i="166"/>
  <c r="D258" i="166"/>
  <c r="E258" i="166"/>
  <c r="F258" i="166"/>
  <c r="G258" i="166"/>
  <c r="H258" i="166"/>
  <c r="O258" i="166"/>
  <c r="A259" i="166"/>
  <c r="B259" i="166"/>
  <c r="C259" i="166"/>
  <c r="D259" i="166"/>
  <c r="E259" i="166"/>
  <c r="F259" i="166"/>
  <c r="G259" i="166"/>
  <c r="H259" i="166"/>
  <c r="I263" i="166"/>
  <c r="I265" i="166"/>
  <c r="K265" i="166"/>
  <c r="L265" i="166"/>
  <c r="M265" i="166"/>
  <c r="N265" i="166"/>
  <c r="O259" i="166"/>
  <c r="A260" i="166"/>
  <c r="B260" i="166"/>
  <c r="C260" i="166"/>
  <c r="D260" i="166"/>
  <c r="E260" i="166"/>
  <c r="F260" i="166"/>
  <c r="G260" i="166"/>
  <c r="H260" i="166"/>
  <c r="O260" i="166"/>
  <c r="A261" i="166"/>
  <c r="B261" i="166"/>
  <c r="C261" i="166"/>
  <c r="D261" i="166"/>
  <c r="E261" i="166"/>
  <c r="F261" i="166"/>
  <c r="G261" i="166"/>
  <c r="H261" i="166"/>
  <c r="O261" i="166"/>
  <c r="A262" i="166"/>
  <c r="B262" i="166"/>
  <c r="C262" i="166"/>
  <c r="D262" i="166"/>
  <c r="E262" i="166"/>
  <c r="F262" i="166"/>
  <c r="G262" i="166"/>
  <c r="H262" i="166"/>
  <c r="O262" i="166"/>
  <c r="A263" i="166"/>
  <c r="B263" i="166"/>
  <c r="C263" i="166"/>
  <c r="D263" i="166"/>
  <c r="E263" i="166"/>
  <c r="F263" i="166"/>
  <c r="G263" i="166"/>
  <c r="H263" i="166"/>
  <c r="L263" i="166"/>
  <c r="O263" i="166"/>
  <c r="A264" i="166"/>
  <c r="B264" i="166"/>
  <c r="C264" i="166"/>
  <c r="D264" i="166"/>
  <c r="E264" i="166"/>
  <c r="F264" i="166"/>
  <c r="G264" i="166"/>
  <c r="H264" i="166"/>
  <c r="O264" i="166"/>
  <c r="A265" i="166"/>
  <c r="B265" i="166"/>
  <c r="C265" i="166"/>
  <c r="D265" i="166"/>
  <c r="E265" i="166"/>
  <c r="F265" i="166"/>
  <c r="G265" i="166"/>
  <c r="H265" i="166"/>
  <c r="O265" i="166"/>
  <c r="A266" i="166"/>
  <c r="B266" i="166"/>
  <c r="C266" i="166"/>
  <c r="D266" i="166"/>
  <c r="E266" i="166"/>
  <c r="F266" i="166"/>
  <c r="G266" i="166"/>
  <c r="H266" i="166"/>
  <c r="O266" i="166"/>
  <c r="A192" i="166"/>
  <c r="B192" i="166"/>
  <c r="C192" i="166"/>
  <c r="D192" i="166"/>
  <c r="E192" i="166"/>
  <c r="F192" i="166"/>
  <c r="G192" i="166"/>
  <c r="H192" i="166"/>
  <c r="O192" i="166"/>
  <c r="A193" i="166"/>
  <c r="B193" i="166"/>
  <c r="C193" i="166"/>
  <c r="D193" i="166"/>
  <c r="E193" i="166"/>
  <c r="F193" i="166"/>
  <c r="G193" i="166"/>
  <c r="H193" i="166"/>
  <c r="O193" i="166"/>
  <c r="A194" i="166"/>
  <c r="B194" i="166"/>
  <c r="C194" i="166"/>
  <c r="D194" i="166"/>
  <c r="E194" i="166"/>
  <c r="F194" i="166"/>
  <c r="G194" i="166"/>
  <c r="H194" i="166"/>
  <c r="O194" i="166"/>
  <c r="A195" i="166"/>
  <c r="B195" i="166"/>
  <c r="C195" i="166"/>
  <c r="D195" i="166"/>
  <c r="E195" i="166"/>
  <c r="F195" i="166"/>
  <c r="G195" i="166"/>
  <c r="H195" i="166"/>
  <c r="O195" i="166"/>
  <c r="A196" i="166"/>
  <c r="B196" i="166"/>
  <c r="C196" i="166"/>
  <c r="D196" i="166"/>
  <c r="E196" i="166"/>
  <c r="F196" i="166"/>
  <c r="G196" i="166"/>
  <c r="H196" i="166"/>
  <c r="O196" i="166"/>
  <c r="A197" i="166"/>
  <c r="B197" i="166"/>
  <c r="C197" i="166"/>
  <c r="D197" i="166"/>
  <c r="E197" i="166"/>
  <c r="F197" i="166"/>
  <c r="G197" i="166"/>
  <c r="H197" i="166"/>
  <c r="O197" i="166"/>
  <c r="A198" i="166"/>
  <c r="B198" i="166"/>
  <c r="C198" i="166"/>
  <c r="D198" i="166"/>
  <c r="E198" i="166"/>
  <c r="F198" i="166"/>
  <c r="G198" i="166"/>
  <c r="H198" i="166"/>
  <c r="O198" i="166"/>
  <c r="A199" i="166"/>
  <c r="B199" i="166"/>
  <c r="C199" i="166"/>
  <c r="D199" i="166"/>
  <c r="E199" i="166"/>
  <c r="F199" i="166"/>
  <c r="G199" i="166"/>
  <c r="H199" i="166"/>
  <c r="O199" i="166"/>
  <c r="A200" i="166"/>
  <c r="B200" i="166"/>
  <c r="C200" i="166"/>
  <c r="D200" i="166"/>
  <c r="E200" i="166"/>
  <c r="F200" i="166"/>
  <c r="G200" i="166"/>
  <c r="H200" i="166"/>
  <c r="O200" i="166"/>
  <c r="A202" i="166"/>
  <c r="B202" i="166"/>
  <c r="C202" i="166"/>
  <c r="D202" i="166"/>
  <c r="E202" i="166"/>
  <c r="F202" i="166"/>
  <c r="G202" i="166"/>
  <c r="H202" i="166"/>
  <c r="O202" i="166"/>
  <c r="A203" i="166"/>
  <c r="B203" i="166"/>
  <c r="C203" i="166"/>
  <c r="D203" i="166"/>
  <c r="E203" i="166"/>
  <c r="F203" i="166"/>
  <c r="G203" i="166"/>
  <c r="H203" i="166"/>
  <c r="O203" i="166"/>
  <c r="A204" i="166"/>
  <c r="B204" i="166"/>
  <c r="C204" i="166"/>
  <c r="D204" i="166"/>
  <c r="E204" i="166"/>
  <c r="F204" i="166"/>
  <c r="G204" i="166"/>
  <c r="H204" i="166"/>
  <c r="O204" i="166"/>
  <c r="A205" i="166"/>
  <c r="B205" i="166"/>
  <c r="C205" i="166"/>
  <c r="D205" i="166"/>
  <c r="E205" i="166"/>
  <c r="F205" i="166"/>
  <c r="G205" i="166"/>
  <c r="H205" i="166"/>
  <c r="O205" i="166"/>
  <c r="A206" i="166"/>
  <c r="B206" i="166"/>
  <c r="C206" i="166"/>
  <c r="D206" i="166"/>
  <c r="E206" i="166"/>
  <c r="F206" i="166"/>
  <c r="G206" i="166"/>
  <c r="H206" i="166"/>
  <c r="O206" i="166"/>
  <c r="A207" i="166"/>
  <c r="B207" i="166"/>
  <c r="C207" i="166"/>
  <c r="D207" i="166"/>
  <c r="E207" i="166"/>
  <c r="F207" i="166"/>
  <c r="G207" i="166"/>
  <c r="H207" i="166"/>
  <c r="O207" i="166"/>
  <c r="A208" i="166"/>
  <c r="B208" i="166"/>
  <c r="C208" i="166"/>
  <c r="D208" i="166"/>
  <c r="E208" i="166"/>
  <c r="F208" i="166"/>
  <c r="G208" i="166"/>
  <c r="H208" i="166"/>
  <c r="O208" i="166"/>
  <c r="A209" i="166"/>
  <c r="B209" i="166"/>
  <c r="C209" i="166"/>
  <c r="D209" i="166"/>
  <c r="E209" i="166"/>
  <c r="F209" i="166"/>
  <c r="G209" i="166"/>
  <c r="H209" i="166"/>
  <c r="O209" i="166"/>
  <c r="A210" i="166"/>
  <c r="B210" i="166"/>
  <c r="C210" i="166"/>
  <c r="D210" i="166"/>
  <c r="E210" i="166"/>
  <c r="F210" i="166"/>
  <c r="G210" i="166"/>
  <c r="H210" i="166"/>
  <c r="O210" i="166"/>
  <c r="A211" i="166"/>
  <c r="B211" i="166"/>
  <c r="C211" i="166"/>
  <c r="D211" i="166"/>
  <c r="E211" i="166"/>
  <c r="F211" i="166"/>
  <c r="G211" i="166"/>
  <c r="H211" i="166"/>
  <c r="O211" i="166"/>
  <c r="A213" i="166"/>
  <c r="B213" i="166"/>
  <c r="C213" i="166"/>
  <c r="D213" i="166"/>
  <c r="E213" i="166"/>
  <c r="F213" i="166"/>
  <c r="G213" i="166"/>
  <c r="H213" i="166"/>
  <c r="O213" i="166"/>
  <c r="A214" i="166"/>
  <c r="B214" i="166"/>
  <c r="C214" i="166"/>
  <c r="D214" i="166"/>
  <c r="E214" i="166"/>
  <c r="F214" i="166"/>
  <c r="G214" i="166"/>
  <c r="H214" i="166"/>
  <c r="L214" i="166"/>
  <c r="O214" i="166"/>
  <c r="A215" i="166"/>
  <c r="B215" i="166"/>
  <c r="C215" i="166"/>
  <c r="D215" i="166"/>
  <c r="E215" i="166"/>
  <c r="F215" i="166"/>
  <c r="G215" i="166"/>
  <c r="H215" i="166"/>
  <c r="O215" i="166"/>
  <c r="A216" i="166"/>
  <c r="B216" i="166"/>
  <c r="C216" i="166"/>
  <c r="D216" i="166"/>
  <c r="E216" i="166"/>
  <c r="F216" i="166"/>
  <c r="G216" i="166"/>
  <c r="H216" i="166"/>
  <c r="O216" i="166"/>
  <c r="A217" i="166"/>
  <c r="B217" i="166"/>
  <c r="C217" i="166"/>
  <c r="D217" i="166"/>
  <c r="E217" i="166"/>
  <c r="F217" i="166"/>
  <c r="G217" i="166"/>
  <c r="H217" i="166"/>
  <c r="O217" i="166"/>
  <c r="A218" i="166"/>
  <c r="B218" i="166"/>
  <c r="C218" i="166"/>
  <c r="D218" i="166"/>
  <c r="E218" i="166"/>
  <c r="F218" i="166"/>
  <c r="G218" i="166"/>
  <c r="H218" i="166"/>
  <c r="O218" i="166"/>
  <c r="A219" i="166"/>
  <c r="B219" i="166"/>
  <c r="C219" i="166"/>
  <c r="D219" i="166"/>
  <c r="E219" i="166"/>
  <c r="F219" i="166"/>
  <c r="G219" i="166"/>
  <c r="H219" i="166"/>
  <c r="O219" i="166"/>
  <c r="A220" i="166"/>
  <c r="B220" i="166"/>
  <c r="C220" i="166"/>
  <c r="D220" i="166"/>
  <c r="E220" i="166"/>
  <c r="F220" i="166"/>
  <c r="G220" i="166"/>
  <c r="H220" i="166"/>
  <c r="O220" i="166"/>
  <c r="A221" i="166"/>
  <c r="B221" i="166"/>
  <c r="C221" i="166"/>
  <c r="D221" i="166"/>
  <c r="E221" i="166"/>
  <c r="F221" i="166"/>
  <c r="G221" i="166"/>
  <c r="H221" i="166"/>
  <c r="O221" i="166"/>
  <c r="A222" i="166"/>
  <c r="B222" i="166"/>
  <c r="C222" i="166"/>
  <c r="D222" i="166"/>
  <c r="E222" i="166"/>
  <c r="F222" i="166"/>
  <c r="G222" i="166"/>
  <c r="H222" i="166"/>
  <c r="O222" i="166"/>
  <c r="A224" i="166"/>
  <c r="B224" i="166"/>
  <c r="C224" i="166"/>
  <c r="D224" i="166"/>
  <c r="E224" i="166"/>
  <c r="F224" i="166"/>
  <c r="G224" i="166"/>
  <c r="H224" i="166"/>
  <c r="O224" i="166"/>
  <c r="A225" i="166"/>
  <c r="B225" i="166"/>
  <c r="C225" i="166"/>
  <c r="D225" i="166"/>
  <c r="E225" i="166"/>
  <c r="F225" i="166"/>
  <c r="G225" i="166"/>
  <c r="H225" i="166"/>
  <c r="O225" i="166"/>
  <c r="A226" i="166"/>
  <c r="B226" i="166"/>
  <c r="C226" i="166"/>
  <c r="D226" i="166"/>
  <c r="E226" i="166"/>
  <c r="F226" i="166"/>
  <c r="G226" i="166"/>
  <c r="H226" i="166"/>
  <c r="O226" i="166"/>
  <c r="A227" i="166"/>
  <c r="B227" i="166"/>
  <c r="C227" i="166"/>
  <c r="D227" i="166"/>
  <c r="E227" i="166"/>
  <c r="F227" i="166"/>
  <c r="G227" i="166"/>
  <c r="H227" i="166"/>
  <c r="O227" i="166"/>
  <c r="A228" i="166"/>
  <c r="B228" i="166"/>
  <c r="C228" i="166"/>
  <c r="D228" i="166"/>
  <c r="E228" i="166"/>
  <c r="F228" i="166"/>
  <c r="G228" i="166"/>
  <c r="H228" i="166"/>
  <c r="O228" i="166"/>
  <c r="A229" i="166"/>
  <c r="B229" i="166"/>
  <c r="C229" i="166"/>
  <c r="D229" i="166"/>
  <c r="E229" i="166"/>
  <c r="F229" i="166"/>
  <c r="G229" i="166"/>
  <c r="H229" i="166"/>
  <c r="O229" i="166"/>
  <c r="A230" i="166"/>
  <c r="B230" i="166"/>
  <c r="C230" i="166"/>
  <c r="D230" i="166"/>
  <c r="E230" i="166"/>
  <c r="F230" i="166"/>
  <c r="G230" i="166"/>
  <c r="H230" i="166"/>
  <c r="O230" i="166"/>
  <c r="A231" i="166"/>
  <c r="B231" i="166"/>
  <c r="C231" i="166"/>
  <c r="D231" i="166"/>
  <c r="E231" i="166"/>
  <c r="F231" i="166"/>
  <c r="G231" i="166"/>
  <c r="H231" i="166"/>
  <c r="O231" i="166"/>
  <c r="A232" i="166"/>
  <c r="B232" i="166"/>
  <c r="C232" i="166"/>
  <c r="D232" i="166"/>
  <c r="E232" i="166"/>
  <c r="F232" i="166"/>
  <c r="G232" i="166"/>
  <c r="H232" i="166"/>
  <c r="O232" i="166"/>
  <c r="O191" i="166"/>
  <c r="L191" i="166"/>
  <c r="B191" i="166"/>
  <c r="C191" i="166"/>
  <c r="D191" i="166"/>
  <c r="E191" i="166"/>
  <c r="F191" i="166"/>
  <c r="G191" i="166"/>
  <c r="H191" i="166"/>
  <c r="A191" i="166"/>
  <c r="O190" i="166"/>
  <c r="O110" i="166"/>
  <c r="B112" i="166"/>
  <c r="C112" i="166"/>
  <c r="D112" i="166"/>
  <c r="E112" i="166"/>
  <c r="F112" i="166"/>
  <c r="G112" i="166"/>
  <c r="H112" i="166"/>
  <c r="L112" i="166"/>
  <c r="I111" i="166"/>
  <c r="K111" i="166"/>
  <c r="L111" i="166"/>
  <c r="M111" i="166"/>
  <c r="N111" i="166"/>
  <c r="I114" i="166"/>
  <c r="K114" i="166"/>
  <c r="L114" i="166"/>
  <c r="M114" i="166"/>
  <c r="N114" i="166"/>
  <c r="I115" i="166"/>
  <c r="I116" i="166"/>
  <c r="K116" i="166"/>
  <c r="L116" i="166"/>
  <c r="M116" i="166"/>
  <c r="N116" i="166"/>
  <c r="I117" i="166"/>
  <c r="K117" i="166"/>
  <c r="L117" i="166"/>
  <c r="M117" i="166"/>
  <c r="N117" i="166"/>
  <c r="I118" i="166"/>
  <c r="K118" i="166"/>
  <c r="L118" i="166"/>
  <c r="M118" i="166"/>
  <c r="N118" i="166"/>
  <c r="I119" i="166"/>
  <c r="K119" i="166"/>
  <c r="L119" i="166"/>
  <c r="M119" i="166"/>
  <c r="N119" i="166"/>
  <c r="I120" i="166"/>
  <c r="K120" i="166"/>
  <c r="L120" i="166"/>
  <c r="M120" i="166"/>
  <c r="N120" i="166"/>
  <c r="O112" i="166"/>
  <c r="B113" i="166"/>
  <c r="C113" i="166"/>
  <c r="D113" i="166"/>
  <c r="E113" i="166"/>
  <c r="F113" i="166"/>
  <c r="G113" i="166"/>
  <c r="H113" i="166"/>
  <c r="O113" i="166"/>
  <c r="B114" i="166"/>
  <c r="C114" i="166"/>
  <c r="D114" i="166"/>
  <c r="E114" i="166"/>
  <c r="F114" i="166"/>
  <c r="G114" i="166"/>
  <c r="H114" i="166"/>
  <c r="O114" i="166"/>
  <c r="B115" i="166"/>
  <c r="C115" i="166"/>
  <c r="D115" i="166"/>
  <c r="E115" i="166"/>
  <c r="F115" i="166"/>
  <c r="G115" i="166"/>
  <c r="H115" i="166"/>
  <c r="L115" i="166"/>
  <c r="O115" i="166"/>
  <c r="B116" i="166"/>
  <c r="C116" i="166"/>
  <c r="D116" i="166"/>
  <c r="E116" i="166"/>
  <c r="F116" i="166"/>
  <c r="G116" i="166"/>
  <c r="H116" i="166"/>
  <c r="O116" i="166"/>
  <c r="B117" i="166"/>
  <c r="C117" i="166"/>
  <c r="D117" i="166"/>
  <c r="E117" i="166"/>
  <c r="F117" i="166"/>
  <c r="G117" i="166"/>
  <c r="H117" i="166"/>
  <c r="O117" i="166"/>
  <c r="B118" i="166"/>
  <c r="C118" i="166"/>
  <c r="D118" i="166"/>
  <c r="E118" i="166"/>
  <c r="F118" i="166"/>
  <c r="G118" i="166"/>
  <c r="H118" i="166"/>
  <c r="O118" i="166"/>
  <c r="B119" i="166"/>
  <c r="C119" i="166"/>
  <c r="D119" i="166"/>
  <c r="E119" i="166"/>
  <c r="F119" i="166"/>
  <c r="G119" i="166"/>
  <c r="H119" i="166"/>
  <c r="O119" i="166"/>
  <c r="B120" i="166"/>
  <c r="C120" i="166"/>
  <c r="D120" i="166"/>
  <c r="E120" i="166"/>
  <c r="F120" i="166"/>
  <c r="G120" i="166"/>
  <c r="H120" i="166"/>
  <c r="O120" i="166"/>
  <c r="B122" i="166"/>
  <c r="C122" i="166"/>
  <c r="D122" i="166"/>
  <c r="E122" i="166"/>
  <c r="F122" i="166"/>
  <c r="G122" i="166"/>
  <c r="H122" i="166"/>
  <c r="I122" i="166"/>
  <c r="K122" i="166"/>
  <c r="L122" i="166"/>
  <c r="M122" i="166"/>
  <c r="O122" i="166"/>
  <c r="B123" i="166"/>
  <c r="C123" i="166"/>
  <c r="D123" i="166"/>
  <c r="E123" i="166"/>
  <c r="F123" i="166"/>
  <c r="G123" i="166"/>
  <c r="H123" i="166"/>
  <c r="I123" i="166"/>
  <c r="K123" i="166"/>
  <c r="L123" i="166"/>
  <c r="M123" i="166"/>
  <c r="N123" i="166"/>
  <c r="O123" i="166"/>
  <c r="B124" i="166"/>
  <c r="C124" i="166"/>
  <c r="D124" i="166"/>
  <c r="E124" i="166"/>
  <c r="F124" i="166"/>
  <c r="G124" i="166"/>
  <c r="H124" i="166"/>
  <c r="I124" i="166"/>
  <c r="K124" i="166"/>
  <c r="L124" i="166"/>
  <c r="M124" i="166"/>
  <c r="N124" i="166"/>
  <c r="O124" i="166"/>
  <c r="B125" i="166"/>
  <c r="C125" i="166"/>
  <c r="D125" i="166"/>
  <c r="E125" i="166"/>
  <c r="F125" i="166"/>
  <c r="G125" i="166"/>
  <c r="H125" i="166"/>
  <c r="I125" i="166"/>
  <c r="K125" i="166"/>
  <c r="L125" i="166"/>
  <c r="M125" i="166"/>
  <c r="N125" i="166"/>
  <c r="O125" i="166"/>
  <c r="B126" i="166"/>
  <c r="C126" i="166"/>
  <c r="D126" i="166"/>
  <c r="E126" i="166"/>
  <c r="F126" i="166"/>
  <c r="G126" i="166"/>
  <c r="H126" i="166"/>
  <c r="I126" i="166"/>
  <c r="K126" i="166"/>
  <c r="L126" i="166"/>
  <c r="M126" i="166"/>
  <c r="N126" i="166"/>
  <c r="O126" i="166"/>
  <c r="B127" i="166"/>
  <c r="C127" i="166"/>
  <c r="D127" i="166"/>
  <c r="E127" i="166"/>
  <c r="F127" i="166"/>
  <c r="G127" i="166"/>
  <c r="H127" i="166"/>
  <c r="I127" i="166"/>
  <c r="K127" i="166"/>
  <c r="L127" i="166"/>
  <c r="M127" i="166"/>
  <c r="N127" i="166"/>
  <c r="O127" i="166"/>
  <c r="B128" i="166"/>
  <c r="C128" i="166"/>
  <c r="D128" i="166"/>
  <c r="E128" i="166"/>
  <c r="F128" i="166"/>
  <c r="G128" i="166"/>
  <c r="H128" i="166"/>
  <c r="I128" i="166"/>
  <c r="K128" i="166"/>
  <c r="L128" i="166"/>
  <c r="M128" i="166"/>
  <c r="N128" i="166"/>
  <c r="O128" i="166"/>
  <c r="B129" i="166"/>
  <c r="C129" i="166"/>
  <c r="D129" i="166"/>
  <c r="E129" i="166"/>
  <c r="F129" i="166"/>
  <c r="G129" i="166"/>
  <c r="H129" i="166"/>
  <c r="I129" i="166"/>
  <c r="L129" i="166"/>
  <c r="O129" i="166"/>
  <c r="B130" i="166"/>
  <c r="C130" i="166"/>
  <c r="D130" i="166"/>
  <c r="E130" i="166"/>
  <c r="F130" i="166"/>
  <c r="G130" i="166"/>
  <c r="H130" i="166"/>
  <c r="I130" i="166"/>
  <c r="K130" i="166"/>
  <c r="L130" i="166"/>
  <c r="M130" i="166"/>
  <c r="N130" i="166"/>
  <c r="O130" i="166"/>
  <c r="B131" i="166"/>
  <c r="C131" i="166"/>
  <c r="D131" i="166"/>
  <c r="E131" i="166"/>
  <c r="F131" i="166"/>
  <c r="G131" i="166"/>
  <c r="H131" i="166"/>
  <c r="I131" i="166"/>
  <c r="K131" i="166"/>
  <c r="L131" i="166"/>
  <c r="M131" i="166"/>
  <c r="N131" i="166"/>
  <c r="O131" i="166"/>
  <c r="B133" i="166"/>
  <c r="C133" i="166"/>
  <c r="D133" i="166"/>
  <c r="E133" i="166"/>
  <c r="F133" i="166"/>
  <c r="G133" i="166"/>
  <c r="H133" i="166"/>
  <c r="L133" i="166"/>
  <c r="O133" i="166"/>
  <c r="B134" i="166"/>
  <c r="C134" i="166"/>
  <c r="D134" i="166"/>
  <c r="E134" i="166"/>
  <c r="F134" i="166"/>
  <c r="G134" i="166"/>
  <c r="H134" i="166"/>
  <c r="I134" i="166"/>
  <c r="K134" i="166"/>
  <c r="L134" i="166"/>
  <c r="M134" i="166"/>
  <c r="N134" i="166"/>
  <c r="O134" i="166"/>
  <c r="B135" i="166"/>
  <c r="C135" i="166"/>
  <c r="D135" i="166"/>
  <c r="E135" i="166"/>
  <c r="F135" i="166"/>
  <c r="G135" i="166"/>
  <c r="H135" i="166"/>
  <c r="I135" i="166"/>
  <c r="K135" i="166"/>
  <c r="L135" i="166"/>
  <c r="M135" i="166"/>
  <c r="N135" i="166"/>
  <c r="O135" i="166"/>
  <c r="B136" i="166"/>
  <c r="C136" i="166"/>
  <c r="D136" i="166"/>
  <c r="E136" i="166"/>
  <c r="F136" i="166"/>
  <c r="G136" i="166"/>
  <c r="H136" i="166"/>
  <c r="I136" i="166"/>
  <c r="K136" i="166"/>
  <c r="L136" i="166"/>
  <c r="M136" i="166"/>
  <c r="N136" i="166"/>
  <c r="O136" i="166"/>
  <c r="B137" i="166"/>
  <c r="C137" i="166"/>
  <c r="D137" i="166"/>
  <c r="E137" i="166"/>
  <c r="F137" i="166"/>
  <c r="G137" i="166"/>
  <c r="H137" i="166"/>
  <c r="I137" i="166"/>
  <c r="L137" i="166"/>
  <c r="O137" i="166"/>
  <c r="B138" i="166"/>
  <c r="C138" i="166"/>
  <c r="D138" i="166"/>
  <c r="E138" i="166"/>
  <c r="F138" i="166"/>
  <c r="G138" i="166"/>
  <c r="H138" i="166"/>
  <c r="I138" i="166"/>
  <c r="K138" i="166"/>
  <c r="L138" i="166"/>
  <c r="M138" i="166"/>
  <c r="N138" i="166"/>
  <c r="O138" i="166"/>
  <c r="B139" i="166"/>
  <c r="C139" i="166"/>
  <c r="D139" i="166"/>
  <c r="E139" i="166"/>
  <c r="F139" i="166"/>
  <c r="G139" i="166"/>
  <c r="H139" i="166"/>
  <c r="I139" i="166"/>
  <c r="K139" i="166"/>
  <c r="L139" i="166"/>
  <c r="M139" i="166"/>
  <c r="N139" i="166"/>
  <c r="O139" i="166"/>
  <c r="B140" i="166"/>
  <c r="C140" i="166"/>
  <c r="D140" i="166"/>
  <c r="E140" i="166"/>
  <c r="F140" i="166"/>
  <c r="G140" i="166"/>
  <c r="H140" i="166"/>
  <c r="I140" i="166"/>
  <c r="K140" i="166"/>
  <c r="L140" i="166"/>
  <c r="M140" i="166"/>
  <c r="N140" i="166"/>
  <c r="O140" i="166"/>
  <c r="B141" i="166"/>
  <c r="C141" i="166"/>
  <c r="D141" i="166"/>
  <c r="E141" i="166"/>
  <c r="F141" i="166"/>
  <c r="G141" i="166"/>
  <c r="H141" i="166"/>
  <c r="O141" i="166"/>
  <c r="B142" i="166"/>
  <c r="C142" i="166"/>
  <c r="D142" i="166"/>
  <c r="E142" i="166"/>
  <c r="F142" i="166"/>
  <c r="G142" i="166"/>
  <c r="H142" i="166"/>
  <c r="O142" i="166"/>
  <c r="B144" i="166"/>
  <c r="C144" i="166"/>
  <c r="D144" i="166"/>
  <c r="E144" i="166"/>
  <c r="F144" i="166"/>
  <c r="G144" i="166"/>
  <c r="H144" i="166"/>
  <c r="I144" i="166"/>
  <c r="K144" i="166"/>
  <c r="L144" i="166"/>
  <c r="M144" i="166"/>
  <c r="O144" i="166"/>
  <c r="B145" i="166"/>
  <c r="C145" i="166"/>
  <c r="D145" i="166"/>
  <c r="E145" i="166"/>
  <c r="F145" i="166"/>
  <c r="G145" i="166"/>
  <c r="H145" i="166"/>
  <c r="I145" i="166"/>
  <c r="K145" i="166"/>
  <c r="L145" i="166"/>
  <c r="M145" i="166"/>
  <c r="N145" i="166"/>
  <c r="O145" i="166"/>
  <c r="B146" i="166"/>
  <c r="C146" i="166"/>
  <c r="D146" i="166"/>
  <c r="E146" i="166"/>
  <c r="F146" i="166"/>
  <c r="G146" i="166"/>
  <c r="H146" i="166"/>
  <c r="I146" i="166"/>
  <c r="K146" i="166"/>
  <c r="L146" i="166"/>
  <c r="M146" i="166"/>
  <c r="N146" i="166"/>
  <c r="O146" i="166"/>
  <c r="B147" i="166"/>
  <c r="C147" i="166"/>
  <c r="D147" i="166"/>
  <c r="E147" i="166"/>
  <c r="F147" i="166"/>
  <c r="G147" i="166"/>
  <c r="H147" i="166"/>
  <c r="I147" i="166"/>
  <c r="K147" i="166"/>
  <c r="L147" i="166"/>
  <c r="M147" i="166"/>
  <c r="N147" i="166"/>
  <c r="O147" i="166"/>
  <c r="B148" i="166"/>
  <c r="C148" i="166"/>
  <c r="D148" i="166"/>
  <c r="E148" i="166"/>
  <c r="F148" i="166"/>
  <c r="G148" i="166"/>
  <c r="H148" i="166"/>
  <c r="I148" i="166"/>
  <c r="K148" i="166"/>
  <c r="L148" i="166"/>
  <c r="M148" i="166"/>
  <c r="N148" i="166"/>
  <c r="O148" i="166"/>
  <c r="B149" i="166"/>
  <c r="C149" i="166"/>
  <c r="D149" i="166"/>
  <c r="E149" i="166"/>
  <c r="F149" i="166"/>
  <c r="G149" i="166"/>
  <c r="H149" i="166"/>
  <c r="I149" i="166"/>
  <c r="K149" i="166"/>
  <c r="L149" i="166"/>
  <c r="M149" i="166"/>
  <c r="N149" i="166"/>
  <c r="O149" i="166"/>
  <c r="B150" i="166"/>
  <c r="C150" i="166"/>
  <c r="D150" i="166"/>
  <c r="E150" i="166"/>
  <c r="F150" i="166"/>
  <c r="G150" i="166"/>
  <c r="H150" i="166"/>
  <c r="L150" i="166"/>
  <c r="O150" i="166"/>
  <c r="B151" i="166"/>
  <c r="C151" i="166"/>
  <c r="D151" i="166"/>
  <c r="E151" i="166"/>
  <c r="F151" i="166"/>
  <c r="G151" i="166"/>
  <c r="H151" i="166"/>
  <c r="O151" i="166"/>
  <c r="B152" i="166"/>
  <c r="C152" i="166"/>
  <c r="D152" i="166"/>
  <c r="E152" i="166"/>
  <c r="F152" i="166"/>
  <c r="G152" i="166"/>
  <c r="H152" i="166"/>
  <c r="O152" i="166"/>
  <c r="B153" i="166"/>
  <c r="C153" i="166"/>
  <c r="D153" i="166"/>
  <c r="E153" i="166"/>
  <c r="F153" i="166"/>
  <c r="G153" i="166"/>
  <c r="H153" i="166"/>
  <c r="I153" i="166"/>
  <c r="K153" i="166"/>
  <c r="L153" i="166"/>
  <c r="M153" i="166"/>
  <c r="N153" i="166"/>
  <c r="O153" i="166"/>
  <c r="B155" i="166"/>
  <c r="C155" i="166"/>
  <c r="D155" i="166"/>
  <c r="E155" i="166"/>
  <c r="F155" i="166"/>
  <c r="G155" i="166"/>
  <c r="H155" i="166"/>
  <c r="I155" i="166"/>
  <c r="K155" i="166"/>
  <c r="L155" i="166"/>
  <c r="M155" i="166"/>
  <c r="N155" i="166"/>
  <c r="O155" i="166"/>
  <c r="B156" i="166"/>
  <c r="C156" i="166"/>
  <c r="D156" i="166"/>
  <c r="E156" i="166"/>
  <c r="F156" i="166"/>
  <c r="G156" i="166"/>
  <c r="H156" i="166"/>
  <c r="I156" i="166"/>
  <c r="K156" i="166"/>
  <c r="L156" i="166"/>
  <c r="M156" i="166"/>
  <c r="O156" i="166"/>
  <c r="B157" i="166"/>
  <c r="C157" i="166"/>
  <c r="D157" i="166"/>
  <c r="E157" i="166"/>
  <c r="F157" i="166"/>
  <c r="G157" i="166"/>
  <c r="H157" i="166"/>
  <c r="I157" i="166"/>
  <c r="K157" i="166"/>
  <c r="L157" i="166"/>
  <c r="M157" i="166"/>
  <c r="N157" i="166"/>
  <c r="O157" i="166"/>
  <c r="B158" i="166"/>
  <c r="C158" i="166"/>
  <c r="D158" i="166"/>
  <c r="E158" i="166"/>
  <c r="F158" i="166"/>
  <c r="G158" i="166"/>
  <c r="H158" i="166"/>
  <c r="I158" i="166"/>
  <c r="K158" i="166"/>
  <c r="L158" i="166"/>
  <c r="M158" i="166"/>
  <c r="N158" i="166"/>
  <c r="O158" i="166"/>
  <c r="B159" i="166"/>
  <c r="C159" i="166"/>
  <c r="D159" i="166"/>
  <c r="E159" i="166"/>
  <c r="F159" i="166"/>
  <c r="G159" i="166"/>
  <c r="H159" i="166"/>
  <c r="L159" i="166"/>
  <c r="O159" i="166"/>
  <c r="B160" i="166"/>
  <c r="C160" i="166"/>
  <c r="D160" i="166"/>
  <c r="E160" i="166"/>
  <c r="F160" i="166"/>
  <c r="G160" i="166"/>
  <c r="H160" i="166"/>
  <c r="O160" i="166"/>
  <c r="B161" i="166"/>
  <c r="C161" i="166"/>
  <c r="D161" i="166"/>
  <c r="E161" i="166"/>
  <c r="F161" i="166"/>
  <c r="G161" i="166"/>
  <c r="H161" i="166"/>
  <c r="O161" i="166"/>
  <c r="B162" i="166"/>
  <c r="C162" i="166"/>
  <c r="D162" i="166"/>
  <c r="E162" i="166"/>
  <c r="F162" i="166"/>
  <c r="G162" i="166"/>
  <c r="H162" i="166"/>
  <c r="I162" i="166"/>
  <c r="K162" i="166"/>
  <c r="L162" i="166"/>
  <c r="M162" i="166"/>
  <c r="N162" i="166"/>
  <c r="O162" i="166"/>
  <c r="B163" i="166"/>
  <c r="C163" i="166"/>
  <c r="D163" i="166"/>
  <c r="E163" i="166"/>
  <c r="F163" i="166"/>
  <c r="G163" i="166"/>
  <c r="H163" i="166"/>
  <c r="I163" i="166"/>
  <c r="K163" i="166"/>
  <c r="L163" i="166"/>
  <c r="M163" i="166"/>
  <c r="N163" i="166"/>
  <c r="O163" i="166"/>
  <c r="B164" i="166"/>
  <c r="C164" i="166"/>
  <c r="D164" i="166"/>
  <c r="E164" i="166"/>
  <c r="F164" i="166"/>
  <c r="G164" i="166"/>
  <c r="H164" i="166"/>
  <c r="I164" i="166"/>
  <c r="K164" i="166"/>
  <c r="L164" i="166"/>
  <c r="M164" i="166"/>
  <c r="N164" i="166"/>
  <c r="O164" i="166"/>
  <c r="B166" i="166"/>
  <c r="C166" i="166"/>
  <c r="D166" i="166"/>
  <c r="E166" i="166"/>
  <c r="F166" i="166"/>
  <c r="G166" i="166"/>
  <c r="H166" i="166"/>
  <c r="I166" i="166"/>
  <c r="K166" i="166"/>
  <c r="L166" i="166"/>
  <c r="M166" i="166"/>
  <c r="N166" i="166"/>
  <c r="O166" i="166"/>
  <c r="B167" i="166"/>
  <c r="C167" i="166"/>
  <c r="D167" i="166"/>
  <c r="E167" i="166"/>
  <c r="F167" i="166"/>
  <c r="G167" i="166"/>
  <c r="H167" i="166"/>
  <c r="L167" i="166"/>
  <c r="O167" i="166"/>
  <c r="B168" i="166"/>
  <c r="C168" i="166"/>
  <c r="D168" i="166"/>
  <c r="E168" i="166"/>
  <c r="F168" i="166"/>
  <c r="G168" i="166"/>
  <c r="H168" i="166"/>
  <c r="O168" i="166"/>
  <c r="B169" i="166"/>
  <c r="C169" i="166"/>
  <c r="D169" i="166"/>
  <c r="E169" i="166"/>
  <c r="F169" i="166"/>
  <c r="G169" i="166"/>
  <c r="H169" i="166"/>
  <c r="I169" i="166"/>
  <c r="K169" i="166"/>
  <c r="L169" i="166"/>
  <c r="O169" i="166"/>
  <c r="B170" i="166"/>
  <c r="C170" i="166"/>
  <c r="D170" i="166"/>
  <c r="E170" i="166"/>
  <c r="F170" i="166"/>
  <c r="G170" i="166"/>
  <c r="H170" i="166"/>
  <c r="I170" i="166"/>
  <c r="K170" i="166"/>
  <c r="L170" i="166"/>
  <c r="M170" i="166"/>
  <c r="N170" i="166"/>
  <c r="O170" i="166"/>
  <c r="B171" i="166"/>
  <c r="C171" i="166"/>
  <c r="D171" i="166"/>
  <c r="E171" i="166"/>
  <c r="F171" i="166"/>
  <c r="G171" i="166"/>
  <c r="H171" i="166"/>
  <c r="I171" i="166"/>
  <c r="K171" i="166"/>
  <c r="L171" i="166"/>
  <c r="M171" i="166"/>
  <c r="N171" i="166"/>
  <c r="O171" i="166"/>
  <c r="B172" i="166"/>
  <c r="C172" i="166"/>
  <c r="D172" i="166"/>
  <c r="E172" i="166"/>
  <c r="F172" i="166"/>
  <c r="G172" i="166"/>
  <c r="H172" i="166"/>
  <c r="I172" i="166"/>
  <c r="K172" i="166"/>
  <c r="L172" i="166"/>
  <c r="M172" i="166"/>
  <c r="N172" i="166"/>
  <c r="O172" i="166"/>
  <c r="B173" i="166"/>
  <c r="C173" i="166"/>
  <c r="D173" i="166"/>
  <c r="E173" i="166"/>
  <c r="F173" i="166"/>
  <c r="G173" i="166"/>
  <c r="H173" i="166"/>
  <c r="I173" i="166"/>
  <c r="L173" i="166"/>
  <c r="O173" i="166"/>
  <c r="B174" i="166"/>
  <c r="C174" i="166"/>
  <c r="D174" i="166"/>
  <c r="E174" i="166"/>
  <c r="F174" i="166"/>
  <c r="G174" i="166"/>
  <c r="H174" i="166"/>
  <c r="O174" i="166"/>
  <c r="B175" i="166"/>
  <c r="C175" i="166"/>
  <c r="D175" i="166"/>
  <c r="E175" i="166"/>
  <c r="F175" i="166"/>
  <c r="G175" i="166"/>
  <c r="H175" i="166"/>
  <c r="I175" i="166"/>
  <c r="K175" i="166"/>
  <c r="L175" i="166"/>
  <c r="M175" i="166"/>
  <c r="N175" i="166"/>
  <c r="O175" i="166"/>
  <c r="B177" i="166"/>
  <c r="C177" i="166"/>
  <c r="D177" i="166"/>
  <c r="E177" i="166"/>
  <c r="F177" i="166"/>
  <c r="G177" i="166"/>
  <c r="H177" i="166"/>
  <c r="I177" i="166"/>
  <c r="K177" i="166"/>
  <c r="L177" i="166"/>
  <c r="M177" i="166"/>
  <c r="I180" i="166"/>
  <c r="K180" i="166"/>
  <c r="L180" i="166"/>
  <c r="M180" i="166"/>
  <c r="N180" i="166"/>
  <c r="I181" i="166"/>
  <c r="K181" i="166"/>
  <c r="L181" i="166"/>
  <c r="M181" i="166"/>
  <c r="N181" i="166"/>
  <c r="I182" i="166"/>
  <c r="K182" i="166"/>
  <c r="L182" i="166"/>
  <c r="M182" i="166"/>
  <c r="N182" i="166"/>
  <c r="I183" i="166"/>
  <c r="K183" i="166"/>
  <c r="L183" i="166"/>
  <c r="M183" i="166"/>
  <c r="N183" i="166"/>
  <c r="I184" i="166"/>
  <c r="K184" i="166"/>
  <c r="L184" i="166"/>
  <c r="M184" i="166"/>
  <c r="N184" i="166"/>
  <c r="I185" i="166"/>
  <c r="K185" i="166"/>
  <c r="L185" i="166"/>
  <c r="M185" i="166"/>
  <c r="N185" i="166"/>
  <c r="I186" i="166"/>
  <c r="K186" i="166"/>
  <c r="L186" i="166"/>
  <c r="M186" i="166"/>
  <c r="N186" i="166"/>
  <c r="O177" i="166"/>
  <c r="B178" i="166"/>
  <c r="C178" i="166"/>
  <c r="D178" i="166"/>
  <c r="E178" i="166"/>
  <c r="F178" i="166"/>
  <c r="G178" i="166"/>
  <c r="H178" i="166"/>
  <c r="O178" i="166"/>
  <c r="B179" i="166"/>
  <c r="C179" i="166"/>
  <c r="D179" i="166"/>
  <c r="E179" i="166"/>
  <c r="F179" i="166"/>
  <c r="G179" i="166"/>
  <c r="H179" i="166"/>
  <c r="O179" i="166"/>
  <c r="B180" i="166"/>
  <c r="C180" i="166"/>
  <c r="D180" i="166"/>
  <c r="E180" i="166"/>
  <c r="F180" i="166"/>
  <c r="G180" i="166"/>
  <c r="H180" i="166"/>
  <c r="O180" i="166"/>
  <c r="B181" i="166"/>
  <c r="C181" i="166"/>
  <c r="D181" i="166"/>
  <c r="E181" i="166"/>
  <c r="F181" i="166"/>
  <c r="G181" i="166"/>
  <c r="H181" i="166"/>
  <c r="O181" i="166"/>
  <c r="B182" i="166"/>
  <c r="C182" i="166"/>
  <c r="D182" i="166"/>
  <c r="E182" i="166"/>
  <c r="F182" i="166"/>
  <c r="G182" i="166"/>
  <c r="H182" i="166"/>
  <c r="O182" i="166"/>
  <c r="B183" i="166"/>
  <c r="C183" i="166"/>
  <c r="D183" i="166"/>
  <c r="E183" i="166"/>
  <c r="F183" i="166"/>
  <c r="G183" i="166"/>
  <c r="H183" i="166"/>
  <c r="O183" i="166"/>
  <c r="B184" i="166"/>
  <c r="C184" i="166"/>
  <c r="D184" i="166"/>
  <c r="E184" i="166"/>
  <c r="F184" i="166"/>
  <c r="G184" i="166"/>
  <c r="H184" i="166"/>
  <c r="O184" i="166"/>
  <c r="B185" i="166"/>
  <c r="C185" i="166"/>
  <c r="D185" i="166"/>
  <c r="E185" i="166"/>
  <c r="F185" i="166"/>
  <c r="G185" i="166"/>
  <c r="H185" i="166"/>
  <c r="O185" i="166"/>
  <c r="B186" i="166"/>
  <c r="C186" i="166"/>
  <c r="D186" i="166"/>
  <c r="E186" i="166"/>
  <c r="F186" i="166"/>
  <c r="G186" i="166"/>
  <c r="H186" i="166"/>
  <c r="O186" i="166"/>
  <c r="A112" i="166"/>
  <c r="A113" i="166"/>
  <c r="A114" i="166"/>
  <c r="A115" i="166"/>
  <c r="A116" i="166"/>
  <c r="A117" i="166"/>
  <c r="A118" i="166"/>
  <c r="A119" i="166"/>
  <c r="A120" i="166"/>
  <c r="A122" i="166"/>
  <c r="A123" i="166"/>
  <c r="A124" i="166"/>
  <c r="A125" i="166"/>
  <c r="A126" i="166"/>
  <c r="A127" i="166"/>
  <c r="A128" i="166"/>
  <c r="A129" i="166"/>
  <c r="A130" i="166"/>
  <c r="A131" i="166"/>
  <c r="A133" i="166"/>
  <c r="A134" i="166"/>
  <c r="A135" i="166"/>
  <c r="A136" i="166"/>
  <c r="A137" i="166"/>
  <c r="A138" i="166"/>
  <c r="A139" i="166"/>
  <c r="A140" i="166"/>
  <c r="A141" i="166"/>
  <c r="A142" i="166"/>
  <c r="A144" i="166"/>
  <c r="A145" i="166"/>
  <c r="A146" i="166"/>
  <c r="A147" i="166"/>
  <c r="A148" i="166"/>
  <c r="A149" i="166"/>
  <c r="A150" i="166"/>
  <c r="A151" i="166"/>
  <c r="A152" i="166"/>
  <c r="A153" i="166"/>
  <c r="A155" i="166"/>
  <c r="A156" i="166"/>
  <c r="A157" i="166"/>
  <c r="A158" i="166"/>
  <c r="A159" i="166"/>
  <c r="A160" i="166"/>
  <c r="A161" i="166"/>
  <c r="A162" i="166"/>
  <c r="A163" i="166"/>
  <c r="A164" i="166"/>
  <c r="A166" i="166"/>
  <c r="A167" i="166"/>
  <c r="A168" i="166"/>
  <c r="A169" i="166"/>
  <c r="A170" i="166"/>
  <c r="A171" i="166"/>
  <c r="A172" i="166"/>
  <c r="A173" i="166"/>
  <c r="A174" i="166"/>
  <c r="A175" i="166"/>
  <c r="A177" i="166"/>
  <c r="A178" i="166"/>
  <c r="A179" i="166"/>
  <c r="A180" i="166"/>
  <c r="A181" i="166"/>
  <c r="A182" i="166"/>
  <c r="A183" i="166"/>
  <c r="A184" i="166"/>
  <c r="A185" i="166"/>
  <c r="A186" i="166"/>
  <c r="O111" i="166"/>
  <c r="B111" i="166"/>
  <c r="C111" i="166"/>
  <c r="D111" i="166"/>
  <c r="E111" i="166"/>
  <c r="F111" i="166"/>
  <c r="G111" i="166"/>
  <c r="H111" i="166"/>
  <c r="A111" i="166"/>
  <c r="J316" i="166"/>
  <c r="B316" i="166"/>
  <c r="J315" i="166"/>
  <c r="B315" i="166"/>
  <c r="B314" i="166"/>
  <c r="B313" i="166"/>
  <c r="B312" i="166"/>
  <c r="B311" i="166"/>
  <c r="B307" i="166"/>
  <c r="B306" i="166"/>
  <c r="B304" i="166"/>
  <c r="B302" i="166"/>
  <c r="A302" i="166"/>
  <c r="B301" i="166"/>
  <c r="A301" i="166"/>
  <c r="B292" i="166"/>
  <c r="B279" i="166"/>
  <c r="B278" i="166"/>
  <c r="B273" i="166"/>
  <c r="B272" i="166"/>
  <c r="B271" i="166"/>
  <c r="A270" i="166"/>
  <c r="B108" i="166"/>
  <c r="B107" i="166"/>
  <c r="B106" i="166"/>
  <c r="B105" i="166"/>
  <c r="B103" i="166"/>
  <c r="B99" i="166"/>
  <c r="B96" i="166"/>
  <c r="B92" i="166"/>
  <c r="N7" i="166"/>
  <c r="N190" i="166"/>
  <c r="M7" i="166"/>
  <c r="M190" i="166"/>
  <c r="K7" i="166"/>
  <c r="K110" i="166"/>
  <c r="J7" i="166"/>
  <c r="J110" i="166"/>
  <c r="K3" i="166"/>
  <c r="K2" i="166"/>
  <c r="K1" i="166"/>
  <c r="A1" i="166"/>
  <c r="A84" i="166"/>
  <c r="A73" i="166"/>
  <c r="A176" i="166"/>
  <c r="A62" i="166"/>
  <c r="A245" i="166"/>
  <c r="A165" i="166"/>
  <c r="A51" i="166"/>
  <c r="A234" i="166"/>
  <c r="A40" i="166"/>
  <c r="A143" i="166"/>
  <c r="A29" i="166"/>
  <c r="A132" i="166"/>
  <c r="A212" i="166"/>
  <c r="A18" i="166"/>
  <c r="A201" i="166"/>
  <c r="M9" i="166"/>
  <c r="M11" i="166"/>
  <c r="N11" i="166"/>
  <c r="K19" i="166"/>
  <c r="M19" i="166"/>
  <c r="N19" i="166"/>
  <c r="K20" i="166"/>
  <c r="M20" i="166"/>
  <c r="K21" i="166"/>
  <c r="M21" i="166"/>
  <c r="N21" i="166"/>
  <c r="K22" i="166"/>
  <c r="M22" i="166"/>
  <c r="N22" i="166"/>
  <c r="K23" i="166"/>
  <c r="K24" i="166"/>
  <c r="M24" i="166"/>
  <c r="N24" i="166"/>
  <c r="K25" i="166"/>
  <c r="M25" i="166"/>
  <c r="N25" i="166"/>
  <c r="K26" i="166"/>
  <c r="M26" i="166"/>
  <c r="N26" i="166"/>
  <c r="K27" i="166"/>
  <c r="M27" i="166"/>
  <c r="N27" i="166"/>
  <c r="K28" i="166"/>
  <c r="M28" i="166"/>
  <c r="N28" i="166"/>
  <c r="M23" i="166"/>
  <c r="N23" i="166"/>
  <c r="K30" i="166"/>
  <c r="M30" i="166"/>
  <c r="K31" i="166"/>
  <c r="M31" i="166"/>
  <c r="N31" i="166"/>
  <c r="K32" i="166"/>
  <c r="M32" i="166"/>
  <c r="N32" i="166"/>
  <c r="K33" i="166"/>
  <c r="K34" i="166"/>
  <c r="K35" i="166"/>
  <c r="K36" i="166"/>
  <c r="K37" i="166"/>
  <c r="K38" i="166"/>
  <c r="K39" i="166"/>
  <c r="K40" i="166"/>
  <c r="M34" i="166"/>
  <c r="N34" i="166"/>
  <c r="M35" i="166"/>
  <c r="N35" i="166"/>
  <c r="M36" i="166"/>
  <c r="N36" i="166"/>
  <c r="M37" i="166"/>
  <c r="N37" i="166"/>
  <c r="M38" i="166"/>
  <c r="N38" i="166"/>
  <c r="M39" i="166"/>
  <c r="N39" i="166"/>
  <c r="M33" i="166"/>
  <c r="N33" i="166"/>
  <c r="K41" i="166"/>
  <c r="M41" i="166"/>
  <c r="N41" i="166"/>
  <c r="K42" i="166"/>
  <c r="M42" i="166"/>
  <c r="N42" i="166"/>
  <c r="K43" i="166"/>
  <c r="M43" i="166"/>
  <c r="N43" i="166"/>
  <c r="K44" i="166"/>
  <c r="K45" i="166"/>
  <c r="K46" i="166"/>
  <c r="K47" i="166"/>
  <c r="K48" i="166"/>
  <c r="K49" i="166"/>
  <c r="K50" i="166"/>
  <c r="K51" i="166"/>
  <c r="M45" i="166"/>
  <c r="N45" i="166"/>
  <c r="M46" i="166"/>
  <c r="N46" i="166"/>
  <c r="M47" i="166"/>
  <c r="N47" i="166"/>
  <c r="M48" i="166"/>
  <c r="N48" i="166"/>
  <c r="M49" i="166"/>
  <c r="N49" i="166"/>
  <c r="M50" i="166"/>
  <c r="N50" i="166"/>
  <c r="M44" i="166"/>
  <c r="N44" i="166"/>
  <c r="K52" i="166"/>
  <c r="K53" i="166"/>
  <c r="K54" i="166"/>
  <c r="K55" i="166"/>
  <c r="K56" i="166"/>
  <c r="K57" i="166"/>
  <c r="K58" i="166"/>
  <c r="K59" i="166"/>
  <c r="K60" i="166"/>
  <c r="K61" i="166"/>
  <c r="K62" i="166"/>
  <c r="M52" i="166"/>
  <c r="N52" i="166"/>
  <c r="M53" i="166"/>
  <c r="N53" i="166"/>
  <c r="M54" i="166"/>
  <c r="N54" i="166"/>
  <c r="M55" i="166"/>
  <c r="N55" i="166"/>
  <c r="M56" i="166"/>
  <c r="N56" i="166"/>
  <c r="M57" i="166"/>
  <c r="N57" i="166"/>
  <c r="M58" i="166"/>
  <c r="N58" i="166"/>
  <c r="M59" i="166"/>
  <c r="N59" i="166"/>
  <c r="M60" i="166"/>
  <c r="N60" i="166"/>
  <c r="M61" i="166"/>
  <c r="N61" i="166"/>
  <c r="K63" i="166"/>
  <c r="K64" i="166"/>
  <c r="K65" i="166"/>
  <c r="K66" i="166"/>
  <c r="K67" i="166"/>
  <c r="K68" i="166"/>
  <c r="K69" i="166"/>
  <c r="K70" i="166"/>
  <c r="K71" i="166"/>
  <c r="K72" i="166"/>
  <c r="K73" i="166"/>
  <c r="M63" i="166"/>
  <c r="M65" i="166"/>
  <c r="M66" i="166"/>
  <c r="N66" i="166"/>
  <c r="M67" i="166"/>
  <c r="N67" i="166"/>
  <c r="M69" i="166"/>
  <c r="N69" i="166"/>
  <c r="M72" i="166"/>
  <c r="N72" i="166"/>
  <c r="M68" i="166"/>
  <c r="N68" i="166"/>
  <c r="M64" i="166"/>
  <c r="N64" i="166"/>
  <c r="M70" i="166"/>
  <c r="N70" i="166"/>
  <c r="M71" i="166"/>
  <c r="N71" i="166"/>
  <c r="K74" i="166"/>
  <c r="M74" i="166"/>
  <c r="K75" i="166"/>
  <c r="M75" i="166"/>
  <c r="N75" i="166"/>
  <c r="K76" i="166"/>
  <c r="M76" i="166"/>
  <c r="N76" i="166"/>
  <c r="K77" i="166"/>
  <c r="M77" i="166"/>
  <c r="N77" i="166"/>
  <c r="K78" i="166"/>
  <c r="M78" i="166"/>
  <c r="N78" i="166"/>
  <c r="K79" i="166"/>
  <c r="M79" i="166"/>
  <c r="N79" i="166"/>
  <c r="K80" i="166"/>
  <c r="M80" i="166"/>
  <c r="N80" i="166"/>
  <c r="K81" i="166"/>
  <c r="M81" i="166"/>
  <c r="N81" i="166"/>
  <c r="K82" i="166"/>
  <c r="M82" i="166"/>
  <c r="N82" i="166"/>
  <c r="K83" i="166"/>
  <c r="M83" i="166"/>
  <c r="N83" i="166"/>
  <c r="M8" i="166"/>
  <c r="C90" i="167"/>
  <c r="B291" i="166"/>
  <c r="C88" i="167"/>
  <c r="B290" i="166"/>
  <c r="C87" i="167"/>
  <c r="B289" i="166"/>
  <c r="C86" i="167"/>
  <c r="B288" i="166"/>
  <c r="C85" i="167"/>
  <c r="B287" i="166"/>
  <c r="C84" i="167"/>
  <c r="B286" i="166"/>
  <c r="C83" i="167"/>
  <c r="B285" i="166"/>
  <c r="C82" i="167"/>
  <c r="B284" i="166"/>
  <c r="C81" i="167"/>
  <c r="B283" i="166"/>
  <c r="C80" i="167"/>
  <c r="B282" i="166"/>
  <c r="C79" i="167"/>
  <c r="B281" i="166"/>
  <c r="C78" i="167"/>
  <c r="B280" i="166"/>
  <c r="C53" i="167"/>
  <c r="B101" i="166"/>
  <c r="C47" i="167"/>
  <c r="D14" i="167"/>
  <c r="L190" i="166"/>
  <c r="I190" i="166"/>
  <c r="H190" i="166"/>
  <c r="G190" i="166"/>
  <c r="F190" i="166"/>
  <c r="E190" i="166"/>
  <c r="D190" i="166"/>
  <c r="C190" i="166"/>
  <c r="B190" i="166"/>
  <c r="A190" i="166"/>
  <c r="L110" i="166"/>
  <c r="I110" i="166"/>
  <c r="H110" i="166"/>
  <c r="G110" i="166"/>
  <c r="F110" i="166"/>
  <c r="E110" i="166"/>
  <c r="D110" i="166"/>
  <c r="C110" i="166"/>
  <c r="B110" i="166"/>
  <c r="A110" i="166"/>
  <c r="O5" i="164"/>
  <c r="O4" i="164"/>
  <c r="B40" i="163"/>
  <c r="Q3" i="164"/>
  <c r="I102" i="163"/>
  <c r="K102" i="163"/>
  <c r="L102" i="163"/>
  <c r="M102" i="163"/>
  <c r="N102" i="163"/>
  <c r="I103" i="163"/>
  <c r="I106" i="163"/>
  <c r="K106" i="163"/>
  <c r="L106" i="163"/>
  <c r="M106" i="163"/>
  <c r="N106" i="163"/>
  <c r="I107" i="163"/>
  <c r="K107" i="163"/>
  <c r="L107" i="163"/>
  <c r="M107" i="163"/>
  <c r="N107" i="163"/>
  <c r="I112" i="163"/>
  <c r="K112" i="163"/>
  <c r="L112" i="163"/>
  <c r="M112" i="163"/>
  <c r="N112" i="163"/>
  <c r="I114" i="163"/>
  <c r="K114" i="163"/>
  <c r="L114" i="163"/>
  <c r="M114" i="163"/>
  <c r="N114" i="163"/>
  <c r="I116" i="163"/>
  <c r="K116" i="163"/>
  <c r="L116" i="163"/>
  <c r="M116" i="163"/>
  <c r="N116" i="163"/>
  <c r="I118" i="163"/>
  <c r="K118" i="163"/>
  <c r="L118" i="163"/>
  <c r="M118" i="163"/>
  <c r="N118" i="163"/>
  <c r="I94" i="163"/>
  <c r="K94" i="163"/>
  <c r="L94" i="163"/>
  <c r="M94" i="163"/>
  <c r="N94" i="163"/>
  <c r="I68" i="163"/>
  <c r="K68" i="163"/>
  <c r="L68" i="163"/>
  <c r="M68" i="163"/>
  <c r="N68" i="163"/>
  <c r="I69" i="163"/>
  <c r="L69" i="163"/>
  <c r="I74" i="163"/>
  <c r="K74" i="163"/>
  <c r="L74" i="163"/>
  <c r="M74" i="163"/>
  <c r="N74" i="163"/>
  <c r="I78" i="163"/>
  <c r="K78" i="163"/>
  <c r="L78" i="163"/>
  <c r="M78" i="163"/>
  <c r="N78" i="163"/>
  <c r="I80" i="163"/>
  <c r="K80" i="163"/>
  <c r="L80" i="163"/>
  <c r="M80" i="163"/>
  <c r="N80" i="163"/>
  <c r="I81" i="163"/>
  <c r="K81" i="163"/>
  <c r="L81" i="163"/>
  <c r="M81" i="163"/>
  <c r="N81" i="163"/>
  <c r="I87" i="163"/>
  <c r="L87" i="163"/>
  <c r="B62" i="163"/>
  <c r="B63" i="163"/>
  <c r="A157" i="163"/>
  <c r="A154" i="163"/>
  <c r="A153" i="163"/>
  <c r="A121" i="163"/>
  <c r="B170" i="163"/>
  <c r="I170" i="163"/>
  <c r="B154" i="163"/>
  <c r="B129" i="163"/>
  <c r="B130" i="163"/>
  <c r="I169" i="163"/>
  <c r="I168" i="163"/>
  <c r="I167" i="163"/>
  <c r="I166" i="163"/>
  <c r="I165" i="163"/>
  <c r="I162" i="163"/>
  <c r="I161" i="163"/>
  <c r="B153" i="163"/>
  <c r="C77" i="162"/>
  <c r="B132" i="163"/>
  <c r="C78" i="162"/>
  <c r="B133" i="163"/>
  <c r="C79" i="162"/>
  <c r="B134" i="163"/>
  <c r="C80" i="162"/>
  <c r="B135" i="163"/>
  <c r="C81" i="162"/>
  <c r="B136" i="163"/>
  <c r="C82" i="162"/>
  <c r="B137" i="163"/>
  <c r="C83" i="162"/>
  <c r="B138" i="163"/>
  <c r="C84" i="162"/>
  <c r="B139" i="163"/>
  <c r="C85" i="162"/>
  <c r="B140" i="163"/>
  <c r="C76" i="162"/>
  <c r="B131" i="163"/>
  <c r="B123" i="163"/>
  <c r="B122" i="163"/>
  <c r="C86" i="162"/>
  <c r="B141" i="163"/>
  <c r="B54" i="163"/>
  <c r="C53" i="162"/>
  <c r="B56" i="163"/>
  <c r="B48" i="163"/>
  <c r="P9" i="163"/>
  <c r="F65" i="163"/>
  <c r="F66" i="163"/>
  <c r="F67" i="163"/>
  <c r="F68" i="163"/>
  <c r="F69" i="163"/>
  <c r="F70" i="163"/>
  <c r="F71" i="163"/>
  <c r="F72" i="163"/>
  <c r="F73" i="163"/>
  <c r="F74" i="163"/>
  <c r="F75" i="163"/>
  <c r="F76" i="163"/>
  <c r="F77" i="163"/>
  <c r="F78" i="163"/>
  <c r="F79" i="163"/>
  <c r="F80" i="163"/>
  <c r="F81" i="163"/>
  <c r="F82" i="163"/>
  <c r="F83" i="163"/>
  <c r="F84" i="163"/>
  <c r="F85" i="163"/>
  <c r="F86" i="163"/>
  <c r="F87" i="163"/>
  <c r="F88" i="163"/>
  <c r="F89" i="163"/>
  <c r="F90" i="163"/>
  <c r="F93" i="163"/>
  <c r="F94" i="163"/>
  <c r="F95" i="163"/>
  <c r="F96" i="163"/>
  <c r="F97" i="163"/>
  <c r="F98" i="163"/>
  <c r="F99" i="163"/>
  <c r="F100" i="163"/>
  <c r="F101" i="163"/>
  <c r="F102" i="163"/>
  <c r="F103" i="163"/>
  <c r="F104" i="163"/>
  <c r="F105" i="163"/>
  <c r="F106" i="163"/>
  <c r="F107" i="163"/>
  <c r="F108" i="163"/>
  <c r="F109" i="163"/>
  <c r="F110" i="163"/>
  <c r="F111" i="163"/>
  <c r="F112" i="163"/>
  <c r="F113" i="163"/>
  <c r="F114" i="163"/>
  <c r="F115" i="163"/>
  <c r="F116" i="163"/>
  <c r="F117" i="163"/>
  <c r="F118" i="163"/>
  <c r="B50" i="163"/>
  <c r="D14" i="162"/>
  <c r="B45" i="163"/>
  <c r="B46" i="163"/>
  <c r="K3" i="163"/>
  <c r="K10" i="163"/>
  <c r="K11" i="163"/>
  <c r="K12" i="163"/>
  <c r="K13" i="163"/>
  <c r="K14" i="163"/>
  <c r="K15" i="163"/>
  <c r="K16" i="163"/>
  <c r="K17" i="163"/>
  <c r="K18" i="163"/>
  <c r="K19" i="163"/>
  <c r="K20" i="163"/>
  <c r="K21" i="163"/>
  <c r="K22" i="163"/>
  <c r="K23" i="163"/>
  <c r="K24" i="163"/>
  <c r="K25" i="163"/>
  <c r="K26" i="163"/>
  <c r="K27" i="163"/>
  <c r="K28" i="163"/>
  <c r="K29" i="163"/>
  <c r="K30" i="163"/>
  <c r="K31" i="163"/>
  <c r="K32" i="163"/>
  <c r="K33" i="163"/>
  <c r="K34" i="163"/>
  <c r="K35" i="163"/>
  <c r="M10" i="163"/>
  <c r="N10" i="163"/>
  <c r="B44" i="163"/>
  <c r="B42" i="163"/>
  <c r="L35" i="163"/>
  <c r="B144" i="163"/>
  <c r="K2" i="163"/>
  <c r="K1" i="163"/>
  <c r="B169" i="163"/>
  <c r="P5" i="164"/>
  <c r="P4" i="164"/>
  <c r="A1" i="163"/>
  <c r="H8" i="164"/>
  <c r="H7" i="164"/>
  <c r="H6" i="164"/>
  <c r="E88" i="163"/>
  <c r="B168" i="163"/>
  <c r="B167" i="163"/>
  <c r="B166" i="163"/>
  <c r="B165" i="163"/>
  <c r="B162" i="163"/>
  <c r="B161" i="163"/>
  <c r="C106" i="163"/>
  <c r="M12" i="163"/>
  <c r="N12" i="163"/>
  <c r="M11" i="163"/>
  <c r="N11" i="163"/>
  <c r="M13" i="163"/>
  <c r="N13" i="163"/>
  <c r="M14" i="163"/>
  <c r="N14" i="163"/>
  <c r="M15" i="163"/>
  <c r="N15" i="163"/>
  <c r="M16" i="163"/>
  <c r="N16" i="163"/>
  <c r="M17" i="163"/>
  <c r="N17" i="163"/>
  <c r="M18" i="163"/>
  <c r="N18" i="163"/>
  <c r="M19" i="163"/>
  <c r="N19" i="163"/>
  <c r="M20" i="163"/>
  <c r="N20" i="163"/>
  <c r="M21" i="163"/>
  <c r="N21" i="163"/>
  <c r="M22" i="163"/>
  <c r="N22" i="163"/>
  <c r="M23" i="163"/>
  <c r="N23" i="163"/>
  <c r="M24" i="163"/>
  <c r="N24" i="163"/>
  <c r="M25" i="163"/>
  <c r="N25" i="163"/>
  <c r="M26" i="163"/>
  <c r="N26" i="163"/>
  <c r="M27" i="163"/>
  <c r="N27" i="163"/>
  <c r="M28" i="163"/>
  <c r="N28" i="163"/>
  <c r="M29" i="163"/>
  <c r="N29" i="163"/>
  <c r="M30" i="163"/>
  <c r="N30" i="163"/>
  <c r="M31" i="163"/>
  <c r="N31" i="163"/>
  <c r="M32" i="163"/>
  <c r="N32" i="163"/>
  <c r="M33" i="163"/>
  <c r="N33" i="163"/>
  <c r="M34" i="163"/>
  <c r="N34" i="163"/>
  <c r="B94" i="163"/>
  <c r="B98" i="163"/>
  <c r="D97" i="163"/>
  <c r="O3" i="164"/>
  <c r="C47" i="162"/>
  <c r="O7" i="164"/>
  <c r="O6" i="164"/>
  <c r="A95" i="163"/>
  <c r="B95" i="163"/>
  <c r="C95" i="163"/>
  <c r="D95" i="163"/>
  <c r="E95" i="163"/>
  <c r="G95" i="163"/>
  <c r="H95" i="163"/>
  <c r="I95" i="163"/>
  <c r="L95" i="163"/>
  <c r="A96" i="163"/>
  <c r="B96" i="163"/>
  <c r="C96" i="163"/>
  <c r="D96" i="163"/>
  <c r="E96" i="163"/>
  <c r="G96" i="163"/>
  <c r="H96" i="163"/>
  <c r="A97" i="163"/>
  <c r="B97" i="163"/>
  <c r="C97" i="163"/>
  <c r="E97" i="163"/>
  <c r="G97" i="163"/>
  <c r="H97" i="163"/>
  <c r="A98" i="163"/>
  <c r="C98" i="163"/>
  <c r="D98" i="163"/>
  <c r="E98" i="163"/>
  <c r="G98" i="163"/>
  <c r="H98" i="163"/>
  <c r="A99" i="163"/>
  <c r="B99" i="163"/>
  <c r="C99" i="163"/>
  <c r="D99" i="163"/>
  <c r="E99" i="163"/>
  <c r="G99" i="163"/>
  <c r="H99" i="163"/>
  <c r="I99" i="163"/>
  <c r="L99" i="163"/>
  <c r="A100" i="163"/>
  <c r="B100" i="163"/>
  <c r="C100" i="163"/>
  <c r="D100" i="163"/>
  <c r="E100" i="163"/>
  <c r="G100" i="163"/>
  <c r="H100" i="163"/>
  <c r="A101" i="163"/>
  <c r="B101" i="163"/>
  <c r="C101" i="163"/>
  <c r="D101" i="163"/>
  <c r="E101" i="163"/>
  <c r="G101" i="163"/>
  <c r="H101" i="163"/>
  <c r="A102" i="163"/>
  <c r="B102" i="163"/>
  <c r="C102" i="163"/>
  <c r="D102" i="163"/>
  <c r="E102" i="163"/>
  <c r="G102" i="163"/>
  <c r="H102" i="163"/>
  <c r="A103" i="163"/>
  <c r="B103" i="163"/>
  <c r="C103" i="163"/>
  <c r="D103" i="163"/>
  <c r="E103" i="163"/>
  <c r="G103" i="163"/>
  <c r="H103" i="163"/>
  <c r="L103" i="163"/>
  <c r="A104" i="163"/>
  <c r="B104" i="163"/>
  <c r="C104" i="163"/>
  <c r="D104" i="163"/>
  <c r="E104" i="163"/>
  <c r="G104" i="163"/>
  <c r="H104" i="163"/>
  <c r="A105" i="163"/>
  <c r="B105" i="163"/>
  <c r="C105" i="163"/>
  <c r="D105" i="163"/>
  <c r="E105" i="163"/>
  <c r="G105" i="163"/>
  <c r="H105" i="163"/>
  <c r="A106" i="163"/>
  <c r="B106" i="163"/>
  <c r="D106" i="163"/>
  <c r="E106" i="163"/>
  <c r="G106" i="163"/>
  <c r="H106" i="163"/>
  <c r="A107" i="163"/>
  <c r="B107" i="163"/>
  <c r="C107" i="163"/>
  <c r="D107" i="163"/>
  <c r="E107" i="163"/>
  <c r="G107" i="163"/>
  <c r="H107" i="163"/>
  <c r="A108" i="163"/>
  <c r="B108" i="163"/>
  <c r="C108" i="163"/>
  <c r="D108" i="163"/>
  <c r="E108" i="163"/>
  <c r="G108" i="163"/>
  <c r="H108" i="163"/>
  <c r="A109" i="163"/>
  <c r="B109" i="163"/>
  <c r="C109" i="163"/>
  <c r="D109" i="163"/>
  <c r="E109" i="163"/>
  <c r="G109" i="163"/>
  <c r="H109" i="163"/>
  <c r="A110" i="163"/>
  <c r="B110" i="163"/>
  <c r="C110" i="163"/>
  <c r="D110" i="163"/>
  <c r="E110" i="163"/>
  <c r="G110" i="163"/>
  <c r="H110" i="163"/>
  <c r="A111" i="163"/>
  <c r="B111" i="163"/>
  <c r="C111" i="163"/>
  <c r="D111" i="163"/>
  <c r="E111" i="163"/>
  <c r="G111" i="163"/>
  <c r="H111" i="163"/>
  <c r="A112" i="163"/>
  <c r="B112" i="163"/>
  <c r="C112" i="163"/>
  <c r="D112" i="163"/>
  <c r="E112" i="163"/>
  <c r="G112" i="163"/>
  <c r="H112" i="163"/>
  <c r="A113" i="163"/>
  <c r="B113" i="163"/>
  <c r="C113" i="163"/>
  <c r="D113" i="163"/>
  <c r="E113" i="163"/>
  <c r="G113" i="163"/>
  <c r="H113" i="163"/>
  <c r="A114" i="163"/>
  <c r="B114" i="163"/>
  <c r="C114" i="163"/>
  <c r="D114" i="163"/>
  <c r="E114" i="163"/>
  <c r="G114" i="163"/>
  <c r="H114" i="163"/>
  <c r="A115" i="163"/>
  <c r="B115" i="163"/>
  <c r="C115" i="163"/>
  <c r="D115" i="163"/>
  <c r="E115" i="163"/>
  <c r="G115" i="163"/>
  <c r="H115" i="163"/>
  <c r="A116" i="163"/>
  <c r="B116" i="163"/>
  <c r="C116" i="163"/>
  <c r="D116" i="163"/>
  <c r="E116" i="163"/>
  <c r="G116" i="163"/>
  <c r="H116" i="163"/>
  <c r="A117" i="163"/>
  <c r="B117" i="163"/>
  <c r="C117" i="163"/>
  <c r="D117" i="163"/>
  <c r="E117" i="163"/>
  <c r="G117" i="163"/>
  <c r="H117" i="163"/>
  <c r="A118" i="163"/>
  <c r="B118" i="163"/>
  <c r="C118" i="163"/>
  <c r="D118" i="163"/>
  <c r="E118" i="163"/>
  <c r="G118" i="163"/>
  <c r="H118" i="163"/>
  <c r="A67" i="163"/>
  <c r="B67" i="163"/>
  <c r="C67" i="163"/>
  <c r="D67" i="163"/>
  <c r="E67" i="163"/>
  <c r="G67" i="163"/>
  <c r="H67" i="163"/>
  <c r="A68" i="163"/>
  <c r="B68" i="163"/>
  <c r="C68" i="163"/>
  <c r="D68" i="163"/>
  <c r="E68" i="163"/>
  <c r="G68" i="163"/>
  <c r="H68" i="163"/>
  <c r="A69" i="163"/>
  <c r="B69" i="163"/>
  <c r="C69" i="163"/>
  <c r="D69" i="163"/>
  <c r="E69" i="163"/>
  <c r="G69" i="163"/>
  <c r="H69" i="163"/>
  <c r="A70" i="163"/>
  <c r="B70" i="163"/>
  <c r="C70" i="163"/>
  <c r="D70" i="163"/>
  <c r="E70" i="163"/>
  <c r="G70" i="163"/>
  <c r="H70" i="163"/>
  <c r="A71" i="163"/>
  <c r="B71" i="163"/>
  <c r="C71" i="163"/>
  <c r="D71" i="163"/>
  <c r="E71" i="163"/>
  <c r="G71" i="163"/>
  <c r="H71" i="163"/>
  <c r="A72" i="163"/>
  <c r="B72" i="163"/>
  <c r="C72" i="163"/>
  <c r="D72" i="163"/>
  <c r="E72" i="163"/>
  <c r="G72" i="163"/>
  <c r="H72" i="163"/>
  <c r="A73" i="163"/>
  <c r="B73" i="163"/>
  <c r="C73" i="163"/>
  <c r="D73" i="163"/>
  <c r="E73" i="163"/>
  <c r="G73" i="163"/>
  <c r="H73" i="163"/>
  <c r="A74" i="163"/>
  <c r="B74" i="163"/>
  <c r="C74" i="163"/>
  <c r="D74" i="163"/>
  <c r="E74" i="163"/>
  <c r="G74" i="163"/>
  <c r="H74" i="163"/>
  <c r="A75" i="163"/>
  <c r="B75" i="163"/>
  <c r="C75" i="163"/>
  <c r="D75" i="163"/>
  <c r="E75" i="163"/>
  <c r="G75" i="163"/>
  <c r="H75" i="163"/>
  <c r="A76" i="163"/>
  <c r="B76" i="163"/>
  <c r="C76" i="163"/>
  <c r="D76" i="163"/>
  <c r="E76" i="163"/>
  <c r="G76" i="163"/>
  <c r="H76" i="163"/>
  <c r="A77" i="163"/>
  <c r="B77" i="163"/>
  <c r="C77" i="163"/>
  <c r="D77" i="163"/>
  <c r="E77" i="163"/>
  <c r="G77" i="163"/>
  <c r="H77" i="163"/>
  <c r="A78" i="163"/>
  <c r="B78" i="163"/>
  <c r="C78" i="163"/>
  <c r="D78" i="163"/>
  <c r="E78" i="163"/>
  <c r="G78" i="163"/>
  <c r="H78" i="163"/>
  <c r="A79" i="163"/>
  <c r="B79" i="163"/>
  <c r="C79" i="163"/>
  <c r="D79" i="163"/>
  <c r="E79" i="163"/>
  <c r="G79" i="163"/>
  <c r="H79" i="163"/>
  <c r="A80" i="163"/>
  <c r="B80" i="163"/>
  <c r="C80" i="163"/>
  <c r="D80" i="163"/>
  <c r="E80" i="163"/>
  <c r="G80" i="163"/>
  <c r="H80" i="163"/>
  <c r="A81" i="163"/>
  <c r="B81" i="163"/>
  <c r="C81" i="163"/>
  <c r="D81" i="163"/>
  <c r="E81" i="163"/>
  <c r="G81" i="163"/>
  <c r="H81" i="163"/>
  <c r="A82" i="163"/>
  <c r="B82" i="163"/>
  <c r="C82" i="163"/>
  <c r="D82" i="163"/>
  <c r="E82" i="163"/>
  <c r="G82" i="163"/>
  <c r="H82" i="163"/>
  <c r="A83" i="163"/>
  <c r="B83" i="163"/>
  <c r="C83" i="163"/>
  <c r="D83" i="163"/>
  <c r="E83" i="163"/>
  <c r="G83" i="163"/>
  <c r="H83" i="163"/>
  <c r="A84" i="163"/>
  <c r="B84" i="163"/>
  <c r="C84" i="163"/>
  <c r="D84" i="163"/>
  <c r="E84" i="163"/>
  <c r="G84" i="163"/>
  <c r="H84" i="163"/>
  <c r="A85" i="163"/>
  <c r="B85" i="163"/>
  <c r="C85" i="163"/>
  <c r="D85" i="163"/>
  <c r="E85" i="163"/>
  <c r="G85" i="163"/>
  <c r="H85" i="163"/>
  <c r="A86" i="163"/>
  <c r="B86" i="163"/>
  <c r="C86" i="163"/>
  <c r="D86" i="163"/>
  <c r="E86" i="163"/>
  <c r="G86" i="163"/>
  <c r="H86" i="163"/>
  <c r="A87" i="163"/>
  <c r="B87" i="163"/>
  <c r="C87" i="163"/>
  <c r="D87" i="163"/>
  <c r="E87" i="163"/>
  <c r="G87" i="163"/>
  <c r="H87" i="163"/>
  <c r="A88" i="163"/>
  <c r="B88" i="163"/>
  <c r="C88" i="163"/>
  <c r="D88" i="163"/>
  <c r="G88" i="163"/>
  <c r="H88" i="163"/>
  <c r="A89" i="163"/>
  <c r="B89" i="163"/>
  <c r="C89" i="163"/>
  <c r="D89" i="163"/>
  <c r="E89" i="163"/>
  <c r="G89" i="163"/>
  <c r="H89" i="163"/>
  <c r="A90" i="163"/>
  <c r="B90" i="163"/>
  <c r="C90" i="163"/>
  <c r="D90" i="163"/>
  <c r="E90" i="163"/>
  <c r="G90" i="163"/>
  <c r="H90" i="163"/>
  <c r="I82" i="163"/>
  <c r="I35" i="163"/>
  <c r="H94" i="163"/>
  <c r="B93" i="163"/>
  <c r="C93" i="163"/>
  <c r="D93" i="163"/>
  <c r="E93" i="163"/>
  <c r="G93" i="163"/>
  <c r="H93" i="163"/>
  <c r="I93" i="163"/>
  <c r="L93" i="163"/>
  <c r="A93" i="163"/>
  <c r="L82" i="163"/>
  <c r="H66" i="163"/>
  <c r="H65" i="163"/>
  <c r="I65" i="163"/>
  <c r="L65" i="163"/>
  <c r="E65" i="163"/>
  <c r="G65" i="163"/>
  <c r="B65" i="163"/>
  <c r="C65" i="163"/>
  <c r="D65" i="163"/>
  <c r="A65" i="163"/>
  <c r="M9" i="163"/>
  <c r="M93" i="163"/>
  <c r="B160" i="163"/>
  <c r="A6" i="163"/>
  <c r="H5" i="164"/>
  <c r="H4" i="164"/>
  <c r="B143" i="163"/>
  <c r="G94" i="163"/>
  <c r="E94" i="163"/>
  <c r="D94" i="163"/>
  <c r="C94" i="163"/>
  <c r="A94" i="163"/>
  <c r="G66" i="163"/>
  <c r="E66" i="163"/>
  <c r="D66" i="163"/>
  <c r="C66" i="163"/>
  <c r="B66" i="163"/>
  <c r="A66" i="163"/>
  <c r="B61" i="163"/>
  <c r="B60" i="163"/>
  <c r="B58" i="163"/>
  <c r="N9" i="163"/>
  <c r="N93" i="163"/>
  <c r="K9" i="163"/>
  <c r="K65" i="163"/>
  <c r="J9" i="163"/>
  <c r="J93" i="163"/>
  <c r="C88" i="162"/>
  <c r="B142" i="163"/>
  <c r="N63" i="166"/>
  <c r="N8" i="166"/>
  <c r="M10" i="166"/>
  <c r="N10" i="166"/>
  <c r="A187" i="166"/>
  <c r="A267" i="166"/>
  <c r="A121" i="166"/>
  <c r="A256" i="166"/>
  <c r="A154" i="166"/>
  <c r="N51" i="166"/>
  <c r="M40" i="166"/>
  <c r="N30" i="166"/>
  <c r="N40" i="166"/>
  <c r="N20" i="166"/>
  <c r="M29" i="166"/>
  <c r="N29" i="166"/>
  <c r="M35" i="163"/>
  <c r="M84" i="166"/>
  <c r="N74" i="166"/>
  <c r="N84" i="166"/>
  <c r="N62" i="166"/>
  <c r="N9" i="166"/>
  <c r="M73" i="166"/>
  <c r="N65" i="166"/>
  <c r="N73" i="166"/>
  <c r="K103" i="163"/>
  <c r="M103" i="163"/>
  <c r="N103" i="163"/>
  <c r="K95" i="163"/>
  <c r="M95" i="163"/>
  <c r="N95" i="163"/>
  <c r="K239" i="166"/>
  <c r="M239" i="166"/>
  <c r="N239" i="166"/>
  <c r="K87" i="163"/>
  <c r="M87" i="163"/>
  <c r="N87" i="163"/>
  <c r="K226" i="166"/>
  <c r="M226" i="166"/>
  <c r="N226" i="166"/>
  <c r="M62" i="166"/>
  <c r="A223" i="166"/>
  <c r="K84" i="166"/>
  <c r="K115" i="166"/>
  <c r="M115" i="166"/>
  <c r="N115" i="166"/>
  <c r="K263" i="166"/>
  <c r="M263" i="166"/>
  <c r="N263" i="166"/>
  <c r="M13" i="166"/>
  <c r="N13" i="166"/>
  <c r="M51" i="166"/>
  <c r="K69" i="163"/>
  <c r="M69" i="163"/>
  <c r="N69" i="163"/>
  <c r="K129" i="166"/>
  <c r="M129" i="166"/>
  <c r="N129" i="166"/>
  <c r="K99" i="163"/>
  <c r="M99" i="163"/>
  <c r="N99" i="163"/>
  <c r="M169" i="166"/>
  <c r="N169" i="166"/>
  <c r="K137" i="166"/>
  <c r="M137" i="166"/>
  <c r="N137" i="166"/>
  <c r="K29" i="166"/>
  <c r="K173" i="166"/>
  <c r="M173" i="166"/>
  <c r="N173" i="166"/>
  <c r="K82" i="163"/>
  <c r="M82" i="163"/>
  <c r="N82" i="163"/>
  <c r="M18" i="166"/>
  <c r="M85" i="166"/>
  <c r="N35" i="163"/>
  <c r="N18" i="166"/>
  <c r="M110" i="166"/>
  <c r="M214" i="166"/>
  <c r="N214" i="166"/>
  <c r="A87" i="166"/>
  <c r="A36" i="163"/>
  <c r="A37" i="163"/>
  <c r="K85" i="166"/>
  <c r="K190" i="166"/>
  <c r="N85" i="166"/>
  <c r="N110" i="166"/>
  <c r="M257" i="166"/>
  <c r="K267" i="166"/>
  <c r="M202" i="166"/>
  <c r="K212" i="166"/>
  <c r="K201" i="166"/>
  <c r="M191" i="166"/>
  <c r="N156" i="166"/>
  <c r="M228" i="166"/>
  <c r="M234" i="166"/>
  <c r="N224" i="166"/>
  <c r="K165" i="166"/>
  <c r="M159" i="166"/>
  <c r="N159" i="166"/>
  <c r="K245" i="166"/>
  <c r="N144" i="166"/>
  <c r="N228" i="166"/>
  <c r="K234" i="166"/>
  <c r="N256" i="166"/>
  <c r="K143" i="166"/>
  <c r="M133" i="166"/>
  <c r="N177" i="166"/>
  <c r="N187" i="166"/>
  <c r="M187" i="166"/>
  <c r="N223" i="166"/>
  <c r="M112" i="166"/>
  <c r="K121" i="166"/>
  <c r="M223" i="166"/>
  <c r="K176" i="166"/>
  <c r="M167" i="166"/>
  <c r="K154" i="166"/>
  <c r="M150" i="166"/>
  <c r="N150" i="166"/>
  <c r="M132" i="166"/>
  <c r="N122" i="166"/>
  <c r="N132" i="166"/>
  <c r="M245" i="166"/>
  <c r="N235" i="166"/>
  <c r="N245" i="166"/>
  <c r="K187" i="166"/>
  <c r="J190" i="166"/>
  <c r="K223" i="166"/>
  <c r="K132" i="166"/>
  <c r="K256" i="166"/>
  <c r="M256" i="166"/>
  <c r="K93" i="163"/>
  <c r="J65" i="163"/>
  <c r="M65" i="163"/>
  <c r="N65" i="163"/>
  <c r="A86" i="166"/>
  <c r="N234" i="166"/>
  <c r="M165" i="166"/>
  <c r="M121" i="166"/>
  <c r="N112" i="166"/>
  <c r="N121" i="166"/>
  <c r="N133" i="166"/>
  <c r="N143" i="166"/>
  <c r="M143" i="166"/>
  <c r="M201" i="166"/>
  <c r="N191" i="166"/>
  <c r="N201" i="166"/>
  <c r="N165" i="166"/>
  <c r="N154" i="166"/>
  <c r="N202" i="166"/>
  <c r="N212" i="166"/>
  <c r="M212" i="166"/>
  <c r="M176" i="166"/>
  <c r="N167" i="166"/>
  <c r="N176" i="166"/>
  <c r="M154" i="166"/>
  <c r="N257" i="166"/>
  <c r="N267" i="166"/>
  <c r="M267" i="16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Дурыничева Юлия Юрьевна</author>
  </authors>
  <commentList>
    <comment ref="B21" authorId="0" shapeId="0" xr:uid="{00000000-0006-0000-0300-000001000000}">
      <text>
        <r>
          <rPr>
            <b/>
            <sz val="9"/>
            <color indexed="81"/>
            <rFont val="Tahoma"/>
            <family val="2"/>
            <charset val="204"/>
          </rPr>
          <t>Дурыничева Юлия Юрьевна:</t>
        </r>
        <r>
          <rPr>
            <sz val="9"/>
            <color indexed="81"/>
            <rFont val="Tahoma"/>
            <family val="2"/>
            <charset val="204"/>
          </rPr>
          <t xml:space="preserve">
данные поля в форме ввода нужны, учитывая, что в самой ДС будет выпадающие список? Если нет, удалить, чтобы не возникало вопросов по заполнению.</t>
        </r>
      </text>
    </comment>
    <comment ref="B25" authorId="0" shapeId="0" xr:uid="{00000000-0006-0000-0300-000002000000}">
      <text>
        <r>
          <rPr>
            <b/>
            <sz val="9"/>
            <color indexed="81"/>
            <rFont val="Tahoma"/>
            <family val="2"/>
            <charset val="204"/>
          </rPr>
          <t>Дурыничева Юлия Юрьевна:</t>
        </r>
        <r>
          <rPr>
            <sz val="9"/>
            <color indexed="81"/>
            <rFont val="Tahoma"/>
            <family val="2"/>
            <charset val="204"/>
          </rPr>
          <t xml:space="preserve">
если условие в форме ввода не нужно, учитывая, что срок будет отображаться в таблице п.1 ДС четкой датой, то удалить строки.</t>
        </r>
      </text>
    </comment>
  </commentList>
</comments>
</file>

<file path=xl/sharedStrings.xml><?xml version="1.0" encoding="utf-8"?>
<sst xmlns="http://schemas.openxmlformats.org/spreadsheetml/2006/main" count="1119" uniqueCount="677">
  <si>
    <t>1.</t>
  </si>
  <si>
    <t xml:space="preserve">В соответствии с пунктом 1.1 Договора Поставщик обязуется поставить Покупателю следующий Товар: </t>
  </si>
  <si>
    <t>№ п/п</t>
  </si>
  <si>
    <t>Наименование Товара Поставщика</t>
  </si>
  <si>
    <t>ГОСТ, ТУ,CAS</t>
  </si>
  <si>
    <t>Наименование Товара для отражения в учетных системах Покупателя</t>
  </si>
  <si>
    <t>Код АСВ НСИ</t>
  </si>
  <si>
    <t>Ед. изм.</t>
  </si>
  <si>
    <t>Производитель</t>
  </si>
  <si>
    <t>Страна происхождения</t>
  </si>
  <si>
    <t>Кол-во</t>
  </si>
  <si>
    <t>Ставка НДС,%</t>
  </si>
  <si>
    <t>Грузополучатель</t>
  </si>
  <si>
    <t>ВСЕГО</t>
  </si>
  <si>
    <t>2.</t>
  </si>
  <si>
    <t>Условия поставки:</t>
  </si>
  <si>
    <t>3.</t>
  </si>
  <si>
    <r>
      <t>Грузоотправитель:</t>
    </r>
    <r>
      <rPr>
        <sz val="24"/>
        <rFont val="Times New Roman"/>
        <family val="1"/>
        <charset val="204"/>
      </rPr>
      <t xml:space="preserve"> </t>
    </r>
  </si>
  <si>
    <t>4.</t>
  </si>
  <si>
    <t>Грузополучатель:</t>
  </si>
  <si>
    <t>5.</t>
  </si>
  <si>
    <t>Срок поставки:</t>
  </si>
  <si>
    <t>6.</t>
  </si>
  <si>
    <r>
      <t>Порядок оплаты:</t>
    </r>
    <r>
      <rPr>
        <sz val="24"/>
        <rFont val="Times New Roman"/>
        <family val="1"/>
        <charset val="204"/>
      </rPr>
      <t xml:space="preserve"> </t>
    </r>
  </si>
  <si>
    <t>6.1.</t>
  </si>
  <si>
    <t>6.2.</t>
  </si>
  <si>
    <t>7.</t>
  </si>
  <si>
    <t>Требования к качеству Товара:</t>
  </si>
  <si>
    <t>8.</t>
  </si>
  <si>
    <t>Срок годности Товара:</t>
  </si>
  <si>
    <t>9.</t>
  </si>
  <si>
    <t>Датой поставки считается:</t>
  </si>
  <si>
    <t>10.</t>
  </si>
  <si>
    <t>Стороны согласовали следующие контактные лица, адреса электронной почты для направления документов, план-графиков, информации о датах отгрузки и уведомлений в тех случаях, когда такой способ направления  предусмотрен Договором или настоящим дополнительным соглашением:</t>
  </si>
  <si>
    <t>-</t>
  </si>
  <si>
    <t>11.</t>
  </si>
  <si>
    <t>12.</t>
  </si>
  <si>
    <t>12.1.</t>
  </si>
  <si>
    <t>при поставке Товара в течение 10 (десяти) дней, следующих за датой окончания срока поставки, установленного в п.5 настоящего дополнительного соглашения, цена устанавливается в размере:</t>
  </si>
  <si>
    <t>12.2.</t>
  </si>
  <si>
    <t>при поставке Товара по истечении 10 (десяти) дней, следующих за датой окончания срока поставки, установленного в п.5 настоящего дополнительного соглашения, цена устанавливается в размере:</t>
  </si>
  <si>
    <t>12.3.</t>
  </si>
  <si>
    <t>В этом случае:
- оплата Товара осуществляется Покупателем только на основании товарных накладных и счетов-фактур или УПД, в которых цена Товара указана с учетом положений настоящего пункта;
- товарные накладные и счета-фактуры или УПД, оформленные с нарушением условий о цене Товара, установленных в настоящем пункте, к оплате не принимаются и Покупатель не несет ответственности за несвоевременную оплату Товара;
- при отгрузке Товара автомобильным транспортом Поставщика и получении его Покупателем по Транспортному документу, в котором цена Товара не соответствует цене, указанной в п. 12 настоящего дополнительного соглашения, Покупатель вправе внести изменения в Транспортный документ: зачеркнуть указанную Поставщиком цену и указать цену, указанную в п. 12 настоящего дополнительного соглашения.</t>
  </si>
  <si>
    <t>Специальные условия:</t>
  </si>
  <si>
    <t>первичная документация:</t>
  </si>
  <si>
    <t>техническая документация:</t>
  </si>
  <si>
    <t>В Акте об оказании услуг/выполнении работ в обязательном порядке указываются ИНН и КПП Сторон.</t>
  </si>
  <si>
    <t>Доп. информация</t>
  </si>
  <si>
    <t>Тег</t>
  </si>
  <si>
    <t>Подтег</t>
  </si>
  <si>
    <t>Требования к заполнению</t>
  </si>
  <si>
    <t>Номер ДД</t>
  </si>
  <si>
    <t>ИнфПолФХЖ1</t>
  </si>
  <si>
    <t>ТекстИнф/Идентиф
ТекстИнф/Значен</t>
  </si>
  <si>
    <t>Номер PO</t>
  </si>
  <si>
    <t>ИЛИ
Иной аналогичный формат ДД и РО указанный  в соответствующих тегах XML-файла, согласованный Сторонами.</t>
  </si>
  <si>
    <t>Оплата Товара осуществляется Покупателем только на основании товарных накладных/УПД, заполненных с учетом положений настоящего Договора; товарные накладные и УПД, оформленные с нарушением условий об указании номеров ДД и РО, установленных в настоящем пункте, к оплате не принимаются, и Покупатель не несет ответственности за несвоевременную оплату Товара.</t>
  </si>
  <si>
    <t>В случае, если на дату заключения настоящего дополнительного соглашения  между Сторонами уже возникли фактические отношения по его исполнению, подготовке к его исполнению, настоящее дополнительное соглашение распространяет свое действие на них с даты их возникновения.</t>
  </si>
  <si>
    <t>Поставщик</t>
  </si>
  <si>
    <t>Покупатель</t>
  </si>
  <si>
    <t>Банковские реквизиты</t>
  </si>
  <si>
    <t xml:space="preserve">&lt;#stmp&gt; </t>
  </si>
  <si>
    <t>Заполните форму и все значения подтянутся в Шаблон Допсоглашения</t>
  </si>
  <si>
    <t>№ п/п ДС</t>
  </si>
  <si>
    <t>Наименование пункта</t>
  </si>
  <si>
    <t>Желтые поля - ввод данных, Серые поля - выпадающий список</t>
  </si>
  <si>
    <t>Основные данные ДС</t>
  </si>
  <si>
    <t>0.</t>
  </si>
  <si>
    <t>№ договора поставки</t>
  </si>
  <si>
    <t>Дата договора поставки</t>
  </si>
  <si>
    <t>№ дополнительного соглашения</t>
  </si>
  <si>
    <t>Дата дополнительного соглашения</t>
  </si>
  <si>
    <t>Код проекта (справочно)</t>
  </si>
  <si>
    <t>№ RCM карточки</t>
  </si>
  <si>
    <t>№ заказа поставщику </t>
  </si>
  <si>
    <t>Предприятие "Покупатель"</t>
  </si>
  <si>
    <t>(Выпадающий список)</t>
  </si>
  <si>
    <t>Предприятие "Поставщик" (длинное наименование)</t>
  </si>
  <si>
    <t>Предприятие "Поставщик" (краткое наименование)</t>
  </si>
  <si>
    <t>Валюта ДС</t>
  </si>
  <si>
    <t>руб.</t>
  </si>
  <si>
    <t>Контактные данные поставщика (ФИО, email, телефон факса)</t>
  </si>
  <si>
    <t>Контактные данные покупателя (ФИО, email, телефон факса)</t>
  </si>
  <si>
    <t>Условия поставки (место, сроки)</t>
  </si>
  <si>
    <t>2.1.</t>
  </si>
  <si>
    <t>Адрес поставки, если ж/д станция: указать наименование и код станции назначения</t>
  </si>
  <si>
    <t>Доставка до склада Покупателя (Грузополучателя), расположенного по адресу, указанному  в п. 4</t>
  </si>
  <si>
    <t>Грузоотправитель (указать наименование, адрес, иные реквизиты):</t>
  </si>
  <si>
    <t>4.1.</t>
  </si>
  <si>
    <t>Грузополучатель (указать наименование, адрес, иные реквизиты, контактное лицо, ответственное за приемку):</t>
  </si>
  <si>
    <t>4.2.</t>
  </si>
  <si>
    <t>4.3.</t>
  </si>
  <si>
    <r>
      <t>Срок поставки</t>
    </r>
    <r>
      <rPr>
        <b/>
        <sz val="10"/>
        <color rgb="FFFF0000"/>
        <rFont val="Arial Cyr"/>
        <charset val="204"/>
      </rPr>
      <t xml:space="preserve"> (если требуется, заполните 5.1-5.4 и повторно выберите срок поставки)</t>
    </r>
  </si>
  <si>
    <t>5.1.</t>
  </si>
  <si>
    <t>Внесите кол-во календарных дней с даты подписания ДС/перечисления авансового платежа</t>
  </si>
  <si>
    <t>5.2.</t>
  </si>
  <si>
    <t>Внесите конкректную дату поставки/ дату не ранее какой необходимо поставить Товар/ с какой даты можно поставлять</t>
  </si>
  <si>
    <t>5.3.</t>
  </si>
  <si>
    <t>Внесите по какую дату можно поставлять</t>
  </si>
  <si>
    <t>5.4.</t>
  </si>
  <si>
    <t>Внесите Дату не позднее которой, нужно подписать ДС обеими сторонами</t>
  </si>
  <si>
    <t>9.1.</t>
  </si>
  <si>
    <t>Датой поставки считается</t>
  </si>
  <si>
    <t xml:space="preserve">Дата, указанная в Акте приема-передачи Товара, оформленным между Поставщиком (Грузоотправителем) и Грузополучателем и подписанным уполномоченными представителями Сторон. </t>
  </si>
  <si>
    <t>9.1.1.</t>
  </si>
  <si>
    <t>Полный адрес склада (терминала), включая субъект РФ, район, населенный пункт, улицу, номер дома/строения), указанная  в товарно-транспортной накладной</t>
  </si>
  <si>
    <t>Порядок оплаты</t>
  </si>
  <si>
    <t>Порядок оплаты - валюта</t>
  </si>
  <si>
    <t>в рублях по курсу ЦБ РФ на дату списания денежных средств с расчетного счета Покупателя.</t>
  </si>
  <si>
    <t>6.2.0.</t>
  </si>
  <si>
    <t>Порядок оплаты - определите базовые условия оплаты</t>
  </si>
  <si>
    <r>
      <t xml:space="preserve">БАЗОВЫЙ:
Порядок оплаты - условия оплаты </t>
    </r>
    <r>
      <rPr>
        <b/>
        <sz val="10"/>
        <color rgb="FFFF0000"/>
        <rFont val="Arial Cyr"/>
        <charset val="204"/>
      </rPr>
      <t>(если требуется, заполните 6.2.1-6.2.4 и повторно выберите порядок оплаты)</t>
    </r>
  </si>
  <si>
    <t>6.2.1.</t>
  </si>
  <si>
    <r>
      <t xml:space="preserve">Внесите кол-во календарных дней с даты подписания ДС по </t>
    </r>
    <r>
      <rPr>
        <b/>
        <i/>
        <sz val="10"/>
        <rFont val="Arial Cyr"/>
        <charset val="204"/>
      </rPr>
      <t>предоплате/частичной предоплате</t>
    </r>
  </si>
  <si>
    <t>6.2.2.</t>
  </si>
  <si>
    <r>
      <t xml:space="preserve">Внесите кол-во календарных дней с даты поставки Товара/ счета на оплату по </t>
    </r>
    <r>
      <rPr>
        <b/>
        <i/>
        <sz val="10"/>
        <rFont val="Arial Cyr"/>
        <charset val="204"/>
      </rPr>
      <t>постоплате / частичной постоплате</t>
    </r>
  </si>
  <si>
    <t>6.2.3.</t>
  </si>
  <si>
    <t>Внесите процент предоплаты, если требуется</t>
  </si>
  <si>
    <t>6.2.4.</t>
  </si>
  <si>
    <t>Автоматически рассчитывается % постоплаты</t>
  </si>
  <si>
    <r>
      <t xml:space="preserve">Порядок оплаты в исключительных случаях:
</t>
    </r>
    <r>
      <rPr>
        <b/>
        <sz val="10"/>
        <color rgb="FFFFFF00"/>
        <rFont val="Arial Cyr"/>
        <charset val="204"/>
      </rPr>
      <t>ВАЖНО!</t>
    </r>
    <r>
      <rPr>
        <b/>
        <sz val="10"/>
        <color theme="0"/>
        <rFont val="Arial Cyr"/>
        <charset val="204"/>
      </rPr>
      <t xml:space="preserve"> Если контрагент не согласен с базовыми вариантами (требует оплаты в любой день недели – не четверг), то:
1. Требуется согласование Директора ФОП предприятия для предприятий, руководителя направления для КЦ
2. Требуется согласование функции «Казначейство» (Наталья Васильева VasilievaNV@bsc.sibur.ru / Оксана Каленова KalenovaOB@sibur.ru) для внсения данных в SAP ERP.
3. Внесите данные ниже в ячейки</t>
    </r>
  </si>
  <si>
    <t>*6.2.0.</t>
  </si>
  <si>
    <t>Порядок оплаты - определите словия оплаты</t>
  </si>
  <si>
    <t>*6.2.</t>
  </si>
  <si>
    <r>
      <t xml:space="preserve">ИСКЛЮЧИТЕЛЬНЫЙ (если контрагент отказывается от БАЗОВОГО варианта):
Порядок оплаты - условия оплаты </t>
    </r>
    <r>
      <rPr>
        <b/>
        <sz val="10"/>
        <color rgb="FFFF0000"/>
        <rFont val="Arial Cyr"/>
        <charset val="204"/>
      </rPr>
      <t>(если требуется, заполните *6.2.1-*6.2.6 и повторно выберите порядок оплаты)</t>
    </r>
  </si>
  <si>
    <t>*6.2.1.</t>
  </si>
  <si>
    <t>*6.2.2.</t>
  </si>
  <si>
    <t>*6.2.3.</t>
  </si>
  <si>
    <t>Внесите дату оплаты по предоплате/частичной предоплате</t>
  </si>
  <si>
    <t>*6.2.4.</t>
  </si>
  <si>
    <t>Внесите дату оплаты по постоплате / частичной постоплате</t>
  </si>
  <si>
    <t>*6.2.5.</t>
  </si>
  <si>
    <t>*6.2.6.</t>
  </si>
  <si>
    <t>Требования к качеству Товара</t>
  </si>
  <si>
    <r>
      <t xml:space="preserve">Качество Товара
</t>
    </r>
    <r>
      <rPr>
        <i/>
        <sz val="10"/>
        <rFont val="Arial Cyr"/>
        <charset val="204"/>
      </rPr>
      <t>(указать конкретные требования к качеству Товара, ссылку на ГОСТ/ТУ или Приложение к настоящему ДС/Договору.
ЛИБО указать "Покупатель не предъявляет требований к качеству Товара, так как по настоящему Дополнительному соглашению поставляется опытная партия (опытные партии) Товара")</t>
    </r>
  </si>
  <si>
    <t>Срок годности Товара</t>
  </si>
  <si>
    <t>8.1.</t>
  </si>
  <si>
    <t>Указать наименование документа, в котором будет указан срок годности (в сертификате качества или ином заменяющем его документе)</t>
  </si>
  <si>
    <t>сертификате качества</t>
  </si>
  <si>
    <t>8.2.</t>
  </si>
  <si>
    <t>Необходимо внести в п.8 точное кол-во месяцев срока годности (с даты поставки)</t>
  </si>
  <si>
    <t>Параметры для расчета 3 цен</t>
  </si>
  <si>
    <t>13.</t>
  </si>
  <si>
    <r>
      <t xml:space="preserve">Требуется ли применить 3 цены? </t>
    </r>
    <r>
      <rPr>
        <b/>
        <sz val="10"/>
        <color rgb="FFFF0000"/>
        <rFont val="Arial Cyr"/>
        <charset val="204"/>
      </rPr>
      <t>(если нет, то обязательно скройте п.13.1-13.3. в ДС/Спецификации, при этом пункт 11 будет также скорректирован.)</t>
    </r>
  </si>
  <si>
    <t>да</t>
  </si>
  <si>
    <t>13.1.</t>
  </si>
  <si>
    <t>при поставке Товара в течение 10 (десяти) дней после требуемого срока, укажите процент снижения цены</t>
  </si>
  <si>
    <t>13.2.</t>
  </si>
  <si>
    <t>при поставке Товара по истечении 10 (десяти) дней после требуемого срока, укажите процент снижения цены</t>
  </si>
  <si>
    <r>
      <t xml:space="preserve">14. Специальные условия
</t>
    </r>
    <r>
      <rPr>
        <b/>
        <sz val="10"/>
        <color rgb="FFFFFF00"/>
        <rFont val="Arial Cyr"/>
        <charset val="204"/>
      </rPr>
      <t>!!! Поставьте "+" в столбце D, если необходимо вывести спецусловие в форму</t>
    </r>
  </si>
  <si>
    <r>
      <t>Специальные условия:!!!</t>
    </r>
    <r>
      <rPr>
        <i/>
        <sz val="10"/>
        <color rgb="FFFF0000"/>
        <rFont val="Arial Cyr"/>
        <charset val="204"/>
      </rPr>
      <t xml:space="preserve"> Удалить в столбце С все лишнее</t>
    </r>
  </si>
  <si>
    <t>Поставьте "+", если необходимо вывести спецусловие в форму</t>
  </si>
  <si>
    <t>14.1</t>
  </si>
  <si>
    <t>Адрес Покупателя для отправки оригинала ДС</t>
  </si>
  <si>
    <t>+</t>
  </si>
  <si>
    <t>14.2</t>
  </si>
  <si>
    <r>
      <t xml:space="preserve">Адрес Поставщика для отправки оригинала ДС 
</t>
    </r>
    <r>
      <rPr>
        <b/>
        <sz val="10"/>
        <color rgb="FFFF0000"/>
        <rFont val="Arial Cyr"/>
        <charset val="204"/>
      </rPr>
      <t>(Укажите адрес Поставщика для отправки оригинала ДД после краткого наименования)</t>
    </r>
  </si>
  <si>
    <t>14.3</t>
  </si>
  <si>
    <t>Поставщик обязан передать следующие документы:</t>
  </si>
  <si>
    <r>
      <t xml:space="preserve">Первичная документация </t>
    </r>
    <r>
      <rPr>
        <b/>
        <i/>
        <sz val="10"/>
        <color rgb="FFFF0000"/>
        <rFont val="Arial Cyr"/>
        <charset val="204"/>
      </rPr>
      <t>(выбрать, заполнить)</t>
    </r>
  </si>
  <si>
    <t>14.3.1</t>
  </si>
  <si>
    <t>Поставщик обязан передать следующие документы: (Документ 1)</t>
  </si>
  <si>
    <t>УПД</t>
  </si>
  <si>
    <t>14.3.2</t>
  </si>
  <si>
    <t>Поставщик обязан передать следующие документы: (Документ 2)</t>
  </si>
  <si>
    <t>Товарно-транспортная накладная</t>
  </si>
  <si>
    <t>14.3.3</t>
  </si>
  <si>
    <t>Поставщик обязан передать следующие документы: (Документ 3)</t>
  </si>
  <si>
    <t>Накладная по форме ТОРГ-12, счет-фактура</t>
  </si>
  <si>
    <t>14.3.4</t>
  </si>
  <si>
    <t>Поставщик обязан передать следующие документы: (Документ 4)</t>
  </si>
  <si>
    <t>14.3.5</t>
  </si>
  <si>
    <t>Поставщик обязан передать следующие документы: (Документ 5)</t>
  </si>
  <si>
    <r>
      <t xml:space="preserve">Техническая документация </t>
    </r>
    <r>
      <rPr>
        <b/>
        <i/>
        <sz val="10"/>
        <color rgb="FFFF0000"/>
        <rFont val="Arial Cyr"/>
        <charset val="204"/>
      </rPr>
      <t>(выбрать, заполнить)</t>
    </r>
  </si>
  <si>
    <t>14.3.6</t>
  </si>
  <si>
    <t>Сертификат (паспорт) качества</t>
  </si>
  <si>
    <t>14.3.7</t>
  </si>
  <si>
    <t>14.3.8</t>
  </si>
  <si>
    <t>14.3.9</t>
  </si>
  <si>
    <t>14.3.10</t>
  </si>
  <si>
    <t>14.4</t>
  </si>
  <si>
    <t>Требование к упаковке Товара:</t>
  </si>
  <si>
    <r>
      <t>График изготовления и отгрузки</t>
    </r>
    <r>
      <rPr>
        <i/>
        <sz val="10"/>
        <rFont val="Arial Cyr"/>
        <charset val="204"/>
      </rPr>
      <t xml:space="preserve"> (поставьте "+" для вывода данного условия в форму)</t>
    </r>
  </si>
  <si>
    <t>Поставщик обязан посредством электронной почты, указанной в п.10 настоящего дополнительного соглашения, сообщить Покупателю в о прохождении следующих контрольных точек поставки Товара:</t>
  </si>
  <si>
    <t>14.4.1</t>
  </si>
  <si>
    <t>Заказ принят</t>
  </si>
  <si>
    <t>14.4.2</t>
  </si>
  <si>
    <t>Сырье куплено</t>
  </si>
  <si>
    <t>14.4.3</t>
  </si>
  <si>
    <t>Заказ произведен/готов к отгрузке</t>
  </si>
  <si>
    <t>14.4.4</t>
  </si>
  <si>
    <t>Отгружено</t>
  </si>
  <si>
    <t>14.4.5</t>
  </si>
  <si>
    <t>Погружено на судно</t>
  </si>
  <si>
    <t>14.4.6</t>
  </si>
  <si>
    <t>Погружен на авто</t>
  </si>
  <si>
    <t>14.4.7</t>
  </si>
  <si>
    <t>Прибыл на таможню</t>
  </si>
  <si>
    <t>14.4.8</t>
  </si>
  <si>
    <t>Растаможен</t>
  </si>
  <si>
    <t>14.4.9</t>
  </si>
  <si>
    <t>Погружен на поезд/авто</t>
  </si>
  <si>
    <t>14.4.10</t>
  </si>
  <si>
    <t>Доставлен</t>
  </si>
  <si>
    <t>14.5</t>
  </si>
  <si>
    <r>
      <t xml:space="preserve">Толеранс </t>
    </r>
    <r>
      <rPr>
        <i/>
        <sz val="10"/>
        <rFont val="Arial Cyr"/>
        <charset val="204"/>
      </rPr>
      <t xml:space="preserve">(внесите % толеранса в 14.5.1. и поставьте "+" для вывода данного условия в форму)
</t>
    </r>
    <r>
      <rPr>
        <b/>
        <sz val="10"/>
        <color rgb="FFFF0000"/>
        <rFont val="Arial Cyr"/>
        <charset val="204"/>
      </rPr>
      <t>! Не применимо, если товар в штуках</t>
    </r>
  </si>
  <si>
    <t>14.5.1.</t>
  </si>
  <si>
    <t>Укажите % толеранса</t>
  </si>
  <si>
    <t>14.6</t>
  </si>
  <si>
    <r>
      <t xml:space="preserve">Дополнительный объем - опцион
</t>
    </r>
    <r>
      <rPr>
        <i/>
        <sz val="10"/>
        <rFont val="Arial Cyr"/>
        <charset val="204"/>
      </rPr>
      <t>(внесите данные в 14.6.1.-14.6.3. и поставьте "+" для вывода данного условия в форму)</t>
    </r>
  </si>
  <si>
    <t>14.6.1</t>
  </si>
  <si>
    <t>Внесите требуемый срок поставки доп.объема</t>
  </si>
  <si>
    <t>14.6.2</t>
  </si>
  <si>
    <t xml:space="preserve">Внесите % от кол-ва, согласованного в настоящем дополнительном соглашении по каждой позиции. </t>
  </si>
  <si>
    <t>14.6.3</t>
  </si>
  <si>
    <r>
      <t xml:space="preserve">Внесите </t>
    </r>
    <r>
      <rPr>
        <b/>
        <i/>
        <sz val="10"/>
        <rFont val="Arial Cyr"/>
        <charset val="204"/>
      </rPr>
      <t>х</t>
    </r>
    <r>
      <rPr>
        <i/>
        <sz val="10"/>
        <rFont val="Arial Cyr"/>
        <charset val="204"/>
      </rPr>
      <t xml:space="preserve"> кол-во календарных дней для поставки допобъема</t>
    </r>
  </si>
  <si>
    <t>14.7</t>
  </si>
  <si>
    <r>
      <t xml:space="preserve">Изменение ставки НДС </t>
    </r>
    <r>
      <rPr>
        <b/>
        <sz val="10"/>
        <color rgb="FFFF0000"/>
        <rFont val="Arial Cyr"/>
        <charset val="204"/>
      </rPr>
      <t>(только по требованию поставщика)</t>
    </r>
  </si>
  <si>
    <t>В случае законодательного изменения (уменьшения или увеличения) ставки НДС цена Товара изменяется (уменьшается или увеличивается) на соответствующую сумму изменения ставки НДС.</t>
  </si>
  <si>
    <t>Перечень приложений</t>
  </si>
  <si>
    <t>16.</t>
  </si>
  <si>
    <t>Перечень приложений есть?</t>
  </si>
  <si>
    <t>нет</t>
  </si>
  <si>
    <t>Скорректируйте перечень и порядок приложений к ДС</t>
  </si>
  <si>
    <t xml:space="preserve">                                                                                                                                                                                                                                      
1. Перечень документации, предоставляемый Поставщиком
2. Гарантированные показатели Товара (если применимо)</t>
  </si>
  <si>
    <t>Данные о подписантах (Поставщик)</t>
  </si>
  <si>
    <t>17.1.</t>
  </si>
  <si>
    <t>ИНН</t>
  </si>
  <si>
    <t>17.2.</t>
  </si>
  <si>
    <t>КПП</t>
  </si>
  <si>
    <t>17.3.</t>
  </si>
  <si>
    <t>Наименование банка:</t>
  </si>
  <si>
    <t>17.4.</t>
  </si>
  <si>
    <t>р/счет</t>
  </si>
  <si>
    <t>17.5.</t>
  </si>
  <si>
    <t>БИК</t>
  </si>
  <si>
    <t>17.6.</t>
  </si>
  <si>
    <t>к/счет</t>
  </si>
  <si>
    <t>17.7.</t>
  </si>
  <si>
    <t>ОГРН</t>
  </si>
  <si>
    <t>17.8.</t>
  </si>
  <si>
    <t>ФИО подписанта со стороны Поставщика (И.О. Фамилия)</t>
  </si>
  <si>
    <t>17.8.1.</t>
  </si>
  <si>
    <t xml:space="preserve">Вид документа на основании чего подписывает </t>
  </si>
  <si>
    <t>17.8.2.</t>
  </si>
  <si>
    <t xml:space="preserve">№ Документа на основании чего подписывает </t>
  </si>
  <si>
    <t>17.8.3.</t>
  </si>
  <si>
    <t>Дата документа на основании чего подписывает</t>
  </si>
  <si>
    <t>Данные о подписантах (Покупатель)</t>
  </si>
  <si>
    <t>ФИО подписанта со стороны Покупателя (И.О. Фамилия)</t>
  </si>
  <si>
    <t>Срок поставки</t>
  </si>
  <si>
    <t>№ Заказа на поставку</t>
  </si>
  <si>
    <r>
      <t xml:space="preserve">Грузополучатель: </t>
    </r>
    <r>
      <rPr>
        <sz val="24"/>
        <rFont val="Times New Roman"/>
        <family val="1"/>
        <charset val="204"/>
      </rPr>
      <t>указан в Таблице п.1 настоящего Соглашения.</t>
    </r>
  </si>
  <si>
    <r>
      <t xml:space="preserve">Срок поставки: </t>
    </r>
    <r>
      <rPr>
        <sz val="24"/>
        <rFont val="Times New Roman"/>
        <family val="1"/>
        <charset val="204"/>
      </rPr>
      <t>указан в Таблице п.1 настоящего Соглашения.</t>
    </r>
  </si>
  <si>
    <t>Доставка до склада Покупателя (Грузополучателя), расположенного по адресу, указанному  в п. 1</t>
  </si>
  <si>
    <t>Дата получения Товара Покупателем (Грузополучателем) на складе Покупателя (Грузополучателя) (п.2), указанная в Транспортном документе.</t>
  </si>
  <si>
    <t>13.1</t>
  </si>
  <si>
    <t>13.2</t>
  </si>
  <si>
    <t>13.3</t>
  </si>
  <si>
    <t>13.3.1</t>
  </si>
  <si>
    <t>13.3.2</t>
  </si>
  <si>
    <t>13.3.3</t>
  </si>
  <si>
    <t>13.3.4</t>
  </si>
  <si>
    <t>13.3.5</t>
  </si>
  <si>
    <t>13.3.6</t>
  </si>
  <si>
    <t>13.3.7</t>
  </si>
  <si>
    <t>13.3.8</t>
  </si>
  <si>
    <t>13.3.9</t>
  </si>
  <si>
    <t>13.3.10</t>
  </si>
  <si>
    <t>13.4</t>
  </si>
  <si>
    <t>13.4.1</t>
  </si>
  <si>
    <t>13.4.2</t>
  </si>
  <si>
    <t>13.4.3</t>
  </si>
  <si>
    <t>13.4.4</t>
  </si>
  <si>
    <t>13.4.5</t>
  </si>
  <si>
    <t>13.4.6</t>
  </si>
  <si>
    <t>13.4.7</t>
  </si>
  <si>
    <t>13.4.8</t>
  </si>
  <si>
    <t>13.4.9</t>
  </si>
  <si>
    <t>13.4.10</t>
  </si>
  <si>
    <t>13.5</t>
  </si>
  <si>
    <t>13.5.1.</t>
  </si>
  <si>
    <t>13.6</t>
  </si>
  <si>
    <t>13.6.1</t>
  </si>
  <si>
    <t>13.6.2</t>
  </si>
  <si>
    <t>13.6.3</t>
  </si>
  <si>
    <t>13.7</t>
  </si>
  <si>
    <t>16.1.</t>
  </si>
  <si>
    <t>16.2.</t>
  </si>
  <si>
    <t>16.3.</t>
  </si>
  <si>
    <t>16.4.</t>
  </si>
  <si>
    <t>16.5.</t>
  </si>
  <si>
    <t>16.6.</t>
  </si>
  <si>
    <t>16.7.</t>
  </si>
  <si>
    <t>16.8.</t>
  </si>
  <si>
    <t>16.8.1.</t>
  </si>
  <si>
    <t>16.8.2.</t>
  </si>
  <si>
    <t>16.8.3.</t>
  </si>
  <si>
    <t>В качестве предприятий покупателя указать наменование всех предприятий покупателей из п. 1.
Убедиться, что подписант обладает полномочиями на подписание данного документа от имени всех Покупателей, указанных в п.1.</t>
  </si>
  <si>
    <t>16.07</t>
  </si>
  <si>
    <t>Предприятия покупатели</t>
  </si>
  <si>
    <t>Инструкция по заполнению формы ЕУФ</t>
  </si>
  <si>
    <t>№</t>
  </si>
  <si>
    <t>Действие</t>
  </si>
  <si>
    <t>Ссылка на лист</t>
  </si>
  <si>
    <t>Заполните "Форма ввода" - все поля</t>
  </si>
  <si>
    <t>Форма ввода</t>
  </si>
  <si>
    <t>Заполните табличную форму в самой форме "ДС" п.1, если требуется удалите лишние строки или добавьте необходимые, все прочие поля подтянутся из "Форма ввода"</t>
  </si>
  <si>
    <t>ДС</t>
  </si>
  <si>
    <t>Проверьте форму "ДС", если необходимо, внесите правки в "Форма ввода", все значения автоматически подтянутся в "ДС", скорректируйте высоту строк и скройте лишние строки в таблицах и в п.14 "Специальные условия"</t>
  </si>
  <si>
    <t>Код поставщика</t>
  </si>
  <si>
    <t>Краткое наименование</t>
  </si>
  <si>
    <t>Предприятия</t>
  </si>
  <si>
    <t>Код месяца</t>
  </si>
  <si>
    <t>Название месяца</t>
  </si>
  <si>
    <t>Условия поставки</t>
  </si>
  <si>
    <t>Порядок оплаты (валюта)</t>
  </si>
  <si>
    <t>Порядок оплаты: базовые условия</t>
  </si>
  <si>
    <t>Порядок оплаты: способ</t>
  </si>
  <si>
    <t>Порядок оплаты: исключения</t>
  </si>
  <si>
    <t>Порядок оплаты (исключения): способ</t>
  </si>
  <si>
    <t>Гарантия на Товар</t>
  </si>
  <si>
    <t>Срок годности</t>
  </si>
  <si>
    <t>Грузополучатель АО «СибурТюменьГаз»</t>
  </si>
  <si>
    <t>Грузополучатель ООО «БИАКСПЛЕН»</t>
  </si>
  <si>
    <t>Грузополучатель АО «Сибур-Нефтехим»</t>
  </si>
  <si>
    <t>Валюта</t>
  </si>
  <si>
    <t>3цены1</t>
  </si>
  <si>
    <t>3цены2</t>
  </si>
  <si>
    <t>января</t>
  </si>
  <si>
    <t>ООО «БИАКСПЛЕН»</t>
  </si>
  <si>
    <t>Общество с ограниченной ответственностью «БИАКСПЛЕН»</t>
  </si>
  <si>
    <t>февраля</t>
  </si>
  <si>
    <t>Нижегородская область, Балахнинский район, поселок Гидроторф, ул. Административная, д.17, а/я 24</t>
  </si>
  <si>
    <t>в соответствии с таблицей п. 1 настоящего Дополнительного соглашения.</t>
  </si>
  <si>
    <t>Предоплата</t>
  </si>
  <si>
    <t>Постоплата</t>
  </si>
  <si>
    <t>Предоплата_исключение</t>
  </si>
  <si>
    <t>Постоплата_исключение</t>
  </si>
  <si>
    <t>Согласно условиям Договора.</t>
  </si>
  <si>
    <t>1 месяц</t>
  </si>
  <si>
    <t>АО "СибурТюменьГаз" 
628600, РФ, ХМАО-Югра, г.Нижневартовск, 13-й км Мегионской автодороги, промзона. Время работы склада с понедельника по четверг  08:00-16:00. в Пятницу - 08:00 - 10-30 (!); суббота и воскресенье - выходной.</t>
  </si>
  <si>
    <t>ООО "БИАКСПЛЕН"
606425, Нижегородская область, Балахнинский район, поселок Гидроторф, ул. Административная, д.17.</t>
  </si>
  <si>
    <t>АО "Сибур-Нефтехим"
606030, Нижегородская область, г. Дзержинск, Автозаводское шоссе, д. 65.</t>
  </si>
  <si>
    <t>коп.</t>
  </si>
  <si>
    <t>АО «ВОРОНЕЖСИНТЕЗКАУЧУК»</t>
  </si>
  <si>
    <t>Акционерное общество «Воронежский синтетический каучук»</t>
  </si>
  <si>
    <t>марта</t>
  </si>
  <si>
    <t xml:space="preserve">Железнодорожным транспортном до станции Покупателя (Грузополучателя), расположенного на станции: </t>
  </si>
  <si>
    <t>г. Воронеж, ул. Менделеева 3Б.</t>
  </si>
  <si>
    <t>в рублях по курсу ЦБ РФ на дату перехода права собственности на товар, определяемую согласно договору.</t>
  </si>
  <si>
    <t>Дата выдачи оригинала накладной Покупателю (грузополучателю) на станции назначения (п.2), указанная на штемпеле транспортной железнодорожной накладной.</t>
  </si>
  <si>
    <t>2 месяца</t>
  </si>
  <si>
    <t>"Вынгапуровский газоперерабатывающий завод" -Филиал Акционерного общества"СибурТюменьГаз".
629850, РФ, ЯНАО, Пуровский район, Вынгапуровское месторождение, 91-й км Вынгапуровского шоссе
Время работы склада с понедельника по четверг  08:00-16:00. в Пятницу - 08:00 - 10-30 (!); суббота и воскресенье - выходной.</t>
  </si>
  <si>
    <t>Железнодорожненский филиал ООО "БИАКСПЛЕН"
143985, Московская область, г. Балашиха, микрорайон «Саввино" ул. Промышленная, д.35.</t>
  </si>
  <si>
    <t>ООО "СИБУР-Кстово"
607650, Нижегородская область, Кстовский район, город Кстово, пр. 4-й (Промышленный р-н), дом №2</t>
  </si>
  <si>
    <t>долл.США</t>
  </si>
  <si>
    <t>цент.</t>
  </si>
  <si>
    <t>АО «СИБУР-ХИМПРОМ»</t>
  </si>
  <si>
    <t>Акционерное общество «СИБУР-ХИМПРОМ»</t>
  </si>
  <si>
    <t>апреля</t>
  </si>
  <si>
    <t xml:space="preserve">Выборка со склада Поставщика, расположенного по адресу: </t>
  </si>
  <si>
    <t>Тюменская область, г. Тобольск, Промзона.</t>
  </si>
  <si>
    <t>в рублях по курсу ЦБ РФ на дату отгрузки товара Поставщиком, которая определяется соответствующей отметкой в Транспортном документе.</t>
  </si>
  <si>
    <t>Частичнаяпредоплата</t>
  </si>
  <si>
    <t>Частичнаяпредоплата_исключение</t>
  </si>
  <si>
    <t>3 месяца</t>
  </si>
  <si>
    <t>"Губкинский газоперерабатывающий завод" - Филиал Акционерного общества"СибурТюменьГаз"
629830, РФ, ЯНАО, г.Губкинский, промзона.
Время работы склада с понедельника по четверг  08:00-16:00. в Пятницу - 08:00 - 10-30 (!); суббота и воскресенье - выходной.</t>
  </si>
  <si>
    <t>Курский филиал ООО "БИАКСПЛЕН"
305045, г. Курск, ул. Объездная, д. 10.</t>
  </si>
  <si>
    <t>ООО "СИБУР-Кстово"
607650, обл. Нижегородская, г. Кстово, 3.0 км южнее г. Кстово.</t>
  </si>
  <si>
    <t>фунт.</t>
  </si>
  <si>
    <t>пенни</t>
  </si>
  <si>
    <t>ООО «Томскнефтехим»</t>
  </si>
  <si>
    <t>Общество с ограниченной ответственностью «Томскнефтехим»</t>
  </si>
  <si>
    <t>мая</t>
  </si>
  <si>
    <r>
      <t xml:space="preserve">Поставка почтовым отправлением </t>
    </r>
    <r>
      <rPr>
        <sz val="10"/>
        <rFont val="Arial"/>
        <family val="2"/>
        <charset val="204"/>
      </rPr>
      <t xml:space="preserve">с получением Товара по адресу: </t>
    </r>
  </si>
  <si>
    <t>ХМАО-Югра, г.Нижневартовск, 13-й км Мегионской автодороги, промзона.</t>
  </si>
  <si>
    <t>Дата передачи Товара Покупателю (грузополучателю) на складе Поставщика (грузоотправителя) (п.2), указанная  в Транспортном документе.</t>
  </si>
  <si>
    <t>4 месяца</t>
  </si>
  <si>
    <t xml:space="preserve">"Муравленковский газоперерабатывающий завод" - Филиал Акционерного общества"СибурТюменьГаз"
629850, РФ, ЯНАО, г.Муравленко, Суторминское месторождение, Пуровский район.
Требуется заявка на пропуск через пост Газпромнефть-ННГ  за 3 р/дня до поставки (пн-чт до 17:00, пт до 11:00)  </t>
  </si>
  <si>
    <t>Новокуйбышевский филиал ООО "БИАКСПЛЕН"
446201, Самарская область, городской округ Новокуйбышевск,  г. Новокуйбышевск, проезд Железнодорожный, д. 1.</t>
  </si>
  <si>
    <t>АО "Сибур-Нефтехим"
606000, обл. Нижегородская, г. Дзержинск, Восточная промышленная зона, Автозаводское шоссе, д. 65, к. 3.</t>
  </si>
  <si>
    <t>евро</t>
  </si>
  <si>
    <t>евроцент.</t>
  </si>
  <si>
    <t>ООО «СИБУР-Кстово»</t>
  </si>
  <si>
    <t>Общество с ограниченной ответственностью «СИБУР-Кстово»</t>
  </si>
  <si>
    <t>июня</t>
  </si>
  <si>
    <t>Поставка по трубопроводу</t>
  </si>
  <si>
    <t>г. Казань, Беломорская ул., д.101.</t>
  </si>
  <si>
    <t>Дата получения Товара у оператора почтовой связи.</t>
  </si>
  <si>
    <t>5 месяцев</t>
  </si>
  <si>
    <t>"Южно-Балыкский газоперерабатывающий завод" - Филиал Акционерного общества"СибурТюменьГаз"
628387, ХМАО-Югра, г.Пыть-Ях, микрорайон №7, дом 7/А. 
Время работы склада с понедельника по четверг  08:00-16:00. в Пятницу - 08:00 - 10-30 (!); суббота и воскресенье - выходной.</t>
  </si>
  <si>
    <t>Томский филиал ООО "БИАКСПЛЕН"
634067, г. Томск, тракт Кузовлевский, д. 2, стр. 369.</t>
  </si>
  <si>
    <t>АО СИБУР-Нефтехим
606000, обл. Нижегородская, г. Дзержинск, Восточная промзона к. 390.</t>
  </si>
  <si>
    <t>франк.</t>
  </si>
  <si>
    <t>сант.</t>
  </si>
  <si>
    <t>АО «СИБУР-Нефтехим»</t>
  </si>
  <si>
    <t>Акционерное общество «Сибур-Нефтехим»</t>
  </si>
  <si>
    <t>июля</t>
  </si>
  <si>
    <t>г. Красноярск, пер. Каучуковый, д. 6.</t>
  </si>
  <si>
    <t>6 месяцев</t>
  </si>
  <si>
    <t>"Вынгапуровский ГПЗ" филиал ОАО "СибурТюменьГаз"
629850, а/о Ямало-Ненецкий, Пуровский р-н, м-ние Вынгапуровское.</t>
  </si>
  <si>
    <t>юан.</t>
  </si>
  <si>
    <t>цзяо</t>
  </si>
  <si>
    <t>АО "СибурТюменьГаз"</t>
  </si>
  <si>
    <t>Акционерное общество «СибурТюменьГаз»</t>
  </si>
  <si>
    <t>августа</t>
  </si>
  <si>
    <t>Краснодарский край, Анапский р-он, г. Анапа, Пионерский проспект, д. 255.</t>
  </si>
  <si>
    <t>согласно графику, являющемуся Приложением №1 к настоящему Дополнительному соглашению.</t>
  </si>
  <si>
    <t>7 месяцев</t>
  </si>
  <si>
    <t>"Губкинский ГПЗ" филиал ОАО "СибурТюменьГаз"
629830, а/о Ямало-Ненецкий, г. Губкинский, промзона.</t>
  </si>
  <si>
    <t>иен.</t>
  </si>
  <si>
    <t>сен.</t>
  </si>
  <si>
    <t>ООО «КЦО  СИБУР-Юг»</t>
  </si>
  <si>
    <t>Общество с ограниченной ответственностью «КЦО  СИБУР-Юг»</t>
  </si>
  <si>
    <t>сентября</t>
  </si>
  <si>
    <t>Республика Татарстан, Нижнекамский р-н, г. Нижнекамск, ул. Соболевская, здание 23.</t>
  </si>
  <si>
    <t>8 месяцев</t>
  </si>
  <si>
    <t>"Муравленковский ГПЗ" филиал ОАО "СибурТюменьГаз"
629850, а/о Ямало-Ненецкий, Пуровский р-н, м-ние Суторминское.</t>
  </si>
  <si>
    <t>АО «Красноярский завод синтетического каучука»</t>
  </si>
  <si>
    <t>Акционерное общество «Красноярский завод синтетического каучука»</t>
  </si>
  <si>
    <t>октября</t>
  </si>
  <si>
    <t>г. Томск, Кузовлевский тракт, д. 2, стр. 270.</t>
  </si>
  <si>
    <t>9 месяцев</t>
  </si>
  <si>
    <t>"Южно-Балыкский ГПЗ" филиал ОАО "СибурТюменьГаз"
628387, а/о Ханты-Мансийский Автономный округ - Югра, г. Пыть-Ях, микрорайон №7, д. 7А.</t>
  </si>
  <si>
    <t>АО  «ПОЛИЭФ»</t>
  </si>
  <si>
    <t>Акционерное общество «ПОЛИЭФ»</t>
  </si>
  <si>
    <t>ноября</t>
  </si>
  <si>
    <t>г. Краснодар, ул. Красная.</t>
  </si>
  <si>
    <t>10 месяцев</t>
  </si>
  <si>
    <t xml:space="preserve">"Вынгапуровский газоперерабатывающий завод" -Филиал Акционерного общества"СибурТюменьГаз"
629850, РФ, ЯНАО, Пуровский район, Вынгапуровское месторождение, 49 км трассы Вынгапур-Ханымей, Вынгапуровский ГПЗ, Вынгаяхинский компрессорный цех. 
Требуется заявка на пропуск через пост Газпромнефть-ННГ  за 3 р/дня до поставки. Время работы склада: пн-чт до 17:00, пт до 11:00
</t>
  </si>
  <si>
    <t>ООО «СИБУР»</t>
  </si>
  <si>
    <t>Общество с ограниченной ответственностью «СИБУР»</t>
  </si>
  <si>
    <t>декабря</t>
  </si>
  <si>
    <t>Республика Башкортостан, г. Благовещенск, ул. Социалистическая, д. 71.</t>
  </si>
  <si>
    <t>11 месяцев</t>
  </si>
  <si>
    <t xml:space="preserve">"Муравленковский газоперерабатывающий завод" - Филиал Акционерного общества"СибурТюменьГаз"
629850, РФ, ЯНАО, г.Муравленко, Суторминское месторождение, Пуровский район.
Требуется заявка на пропуск через пост Газпромнефть-ННГ  за 3 р/дня до поставки (пн-чт до 17:00, пт до 11:00) </t>
  </si>
  <si>
    <t>АО «СИБУР-ПЭТФ»</t>
  </si>
  <si>
    <t>Акционерное общество «СИБУР-ПЭТФ»</t>
  </si>
  <si>
    <t>13 месяцев</t>
  </si>
  <si>
    <t>филиал СТГ Губкинский ГПЗ
629830, а/о Ямало-Ненецкий, Губкинский, Промзона.</t>
  </si>
  <si>
    <t>ООО «Портэнерго»</t>
  </si>
  <si>
    <t>Общество с ограниченной ответственностью «Портэнерго»</t>
  </si>
  <si>
    <t>г. Томск, Кузовлевский тракт, д. 2, стр. 238.</t>
  </si>
  <si>
    <t>14 месяцев</t>
  </si>
  <si>
    <t>филиал СТГ Муравленковский ГПЗ
629602, а/о Ямало-Ненецкий, Муравленко, Суторминское месторождение.</t>
  </si>
  <si>
    <t>ООО «Салаватский нефтехимический комплекс»</t>
  </si>
  <si>
    <t>Общество с ограниченной ответственностью «Салаватский нефтехимический комплекс»</t>
  </si>
  <si>
    <t>15 месяцев</t>
  </si>
  <si>
    <t>филиал СТГ Южно-Балыкский ГПЗ
628387, а/о Ханты-Мансийский Автономный округ - Югра, Пыть-Ях, Микрорайон №7 7/а.</t>
  </si>
  <si>
    <t>ООО «СИБУР ПолиЛаб»</t>
  </si>
  <si>
    <t>Общество с ограниченной ответственностью «СИБУР ПолиЛаб»</t>
  </si>
  <si>
    <t>16 месяцев</t>
  </si>
  <si>
    <t>филиал СТГ Белозерный ГПЗ
628600, а/о Ханты-Мансийский Автономный округ - Югра, Нижневартовский р-н, 62 км  автодороги Нижневартовск</t>
  </si>
  <si>
    <t>ООО «ЗапСибНефхетим»</t>
  </si>
  <si>
    <t>Общество с ограниченной ответственностью «ЗапСибНефтехим»</t>
  </si>
  <si>
    <t>г. Москва, тер. Сколково Инновационного Центра, б-р Большой, д. 2.</t>
  </si>
  <si>
    <t>17 месяцев</t>
  </si>
  <si>
    <t>филиал СТГ Нижневартовский ГПЗ
628616, а/о Ханты-Мансийский Автономный округ - Югра, Нижневартовск, Район НВ ГПЗ</t>
  </si>
  <si>
    <t>AO «НИПИгазпереработка»</t>
  </si>
  <si>
    <t>Акционерное общество «НИПИгазпереработка»</t>
  </si>
  <si>
    <t>18 месяцев</t>
  </si>
  <si>
    <t>филиал СТГ Няганьгазпереработка
628181, а/о Ханты-Мансийский Автономный округ - Югра, г. Нягань, 29 км а/д Нягань-Талинка.</t>
  </si>
  <si>
    <t>ООО «Запсибтрансгаз»</t>
  </si>
  <si>
    <t>Общество с ограниченной ответственностью «Запсибтрансгаз»</t>
  </si>
  <si>
    <t>Нижегородская область, г. Кстово, пр. 4-й (Промышленный р-н), дом № 2.</t>
  </si>
  <si>
    <t>19 месяцев</t>
  </si>
  <si>
    <t>филиал СТГ РЦ ОП СибурТюменьГаз
628616, а/о Ханты-Мансийский Автономный округ - Югра, Нижневартовск, 13 км Мегионской дороги, промзона.</t>
  </si>
  <si>
    <t>ООО «НИПИГАЗ-Актив»</t>
  </si>
  <si>
    <t>Общество с ограниченной ответственностью «НИПИГАЗ-Актив»</t>
  </si>
  <si>
    <t>Нижегородская область, г. Дзержинск, Автозаводское шоссе, д. 65.</t>
  </si>
  <si>
    <t>20 месяцев</t>
  </si>
  <si>
    <t>АО «СпецТрансОператор»</t>
  </si>
  <si>
    <t>Акционерное общество «СпецТрансОператор»</t>
  </si>
  <si>
    <t>г. Тверь, пл. Гагарина, д. 1, корп. 88 (склад).</t>
  </si>
  <si>
    <t>21 месяц</t>
  </si>
  <si>
    <t>АО «Сибурэнергоменеджемент»</t>
  </si>
  <si>
    <t>Акционерное общество «Сибурэнергоменеджемент»</t>
  </si>
  <si>
    <t>22 месяца</t>
  </si>
  <si>
    <t>ООО «УК «Портэнерго»</t>
  </si>
  <si>
    <t>Общество с ограниченной ответственностью «Управляющая компания «Портэнерго»</t>
  </si>
  <si>
    <t>Ленинградская обл., р-н Кингисеппский, пос. Усть-Лужское, южный район морского порта Усть-Луга, квартал 4.3, д. 1.</t>
  </si>
  <si>
    <t>23 месяца</t>
  </si>
  <si>
    <t>ООО «СИБУР Диджитал»</t>
  </si>
  <si>
    <t>Общество с ограниченной ответственностью «СИБУР Диджитал»</t>
  </si>
  <si>
    <t>24 месяца</t>
  </si>
  <si>
    <t>ПАО «СИБУР Холдинг»</t>
  </si>
  <si>
    <t>Публичное акционерное общество «СИБУР Холдинг»</t>
  </si>
  <si>
    <t>25 месяцев</t>
  </si>
  <si>
    <t>ПАО «Казаньоргсинтез»</t>
  </si>
  <si>
    <t>Казанское публичное акционерное общество   «Органический синтез»</t>
  </si>
  <si>
    <t>г. Нижний Новгород, Мотальный переулок, 8 - Бугров Бизнес Парк, корпус А.</t>
  </si>
  <si>
    <t>26 месяцев</t>
  </si>
  <si>
    <t>ПАО «Нижнекамскнефтехим»</t>
  </si>
  <si>
    <t>Публичное Акционерное Общество «Нижнекамскнефтехим»</t>
  </si>
  <si>
    <t>Республика Башкортостан, г. Салават, Молодогвардейцев 30.</t>
  </si>
  <si>
    <t>27 месяцев</t>
  </si>
  <si>
    <t>АО «СИБУР-РТ»</t>
  </si>
  <si>
    <t>Акционерное общество «СИБУР-РТ»</t>
  </si>
  <si>
    <t>28 месяцев</t>
  </si>
  <si>
    <t>ООО "СИБУР-ЦСПО"</t>
  </si>
  <si>
    <t>Общество с ограниченной ответственностью "СИБУР ЦЕНТР СИНТЕЗА ПОЛИОЛЕФИНОВ</t>
  </si>
  <si>
    <t>г. Томск, Кузовлевский тракт, д. 2, стр.202.</t>
  </si>
  <si>
    <t>29 месяцев</t>
  </si>
  <si>
    <t>ООО «СИБУР КОННЕКТ»</t>
  </si>
  <si>
    <t>Общество с ограниченной ответственностью «СИБУР КОННЕКТ»</t>
  </si>
  <si>
    <t>607650, Нижегородская область, Кстовский муниципальный округ, город Кстово, район Промышленный, проезд 7-й, дом 1.</t>
  </si>
  <si>
    <t>31 месяц</t>
  </si>
  <si>
    <t>ООО «УЭТП-НКНХ»</t>
  </si>
  <si>
    <t>Общество с ограниченной ответственностью «Управление этиленопроводов-Нижнекамскнефтехим»</t>
  </si>
  <si>
    <t>ХМАО-Югра, Нижневартовский район, 62-й км автодороги Нижневартовск-Радужный.
Время работы склада с понедельника по четверг  08:00-16:00. в Пятницу - 08:00 - 10-30 (!); суббота и воскресенье - выходной.</t>
  </si>
  <si>
    <t>32 месяца</t>
  </si>
  <si>
    <t>ООО «ФК «Нефтехимик»»</t>
  </si>
  <si>
    <t>Общество с ограниченной ответственностью «Футбольный клуб «Нефтехимик»»</t>
  </si>
  <si>
    <t>Ханты-Мансийский Автономный округ - Югра, г. Нижневартовск, ул. Омская, д. 1.</t>
  </si>
  <si>
    <t>33 месяца</t>
  </si>
  <si>
    <t>ООО «ХК «Нефтехимик»»</t>
  </si>
  <si>
    <t>Общество с ограниченной ответственностью «Хоккейный клуб «Нефтехимик»»</t>
  </si>
  <si>
    <t>г. Курск, ул. Объездная, д. 10.</t>
  </si>
  <si>
    <t>34 месяца</t>
  </si>
  <si>
    <t>ООО трест «ТСНХРС»</t>
  </si>
  <si>
    <t>Общество с ограниченной ответственностью трест «Татспецнефтехимремстрой»</t>
  </si>
  <si>
    <t>Московская облать, г. Балашиха, микрорайон «Саввино" ул. Промышленная, д.35.</t>
  </si>
  <si>
    <t>35 месяцев</t>
  </si>
  <si>
    <t>ООО «РусВинил»</t>
  </si>
  <si>
    <t>Общество с ограниченной ответственностью «РусВинил»</t>
  </si>
  <si>
    <t>Самарская область, городской округ Новокуйбышевск,  г. Новокуйбышевск, проезд Железнодорожный, д. 1.</t>
  </si>
  <si>
    <t>36 месяцев</t>
  </si>
  <si>
    <t>ООО «СИБУР-Инновации»</t>
  </si>
  <si>
    <t>Общество с ограниченной ответственностью «СИБУР-Инновации</t>
  </si>
  <si>
    <t xml:space="preserve"> ЯНАО, Пуровский район, Вынгапуровское месторождение, 91-й км Вынгапуровского шоссе.
Время работы склада с понедельника по четверг  08:00-16:00. в Пятницу - 08:00 - 10-30 (!); суббота и воскресенье - выходной.</t>
  </si>
  <si>
    <t>37 месяцев</t>
  </si>
  <si>
    <t>ООО АГХК</t>
  </si>
  <si>
    <t>ООО "АГХК"</t>
  </si>
  <si>
    <t>Общество с ограниченной ответственностью «АМУРСКИЙ ГАЗОХИМИЧЕСКИЙ КОМПЛЕКС»</t>
  </si>
  <si>
    <t>629830, РФ, ЯНАО, г.Губкинский, промзона.
Время работы склада с понедельника по четверг  08:00-16:00. в Пятницу - 08:00 - 10-30 (!); суббота и воскресенье - выходной.</t>
  </si>
  <si>
    <t>38 месяцев</t>
  </si>
  <si>
    <t>39 месяцев</t>
  </si>
  <si>
    <t>Белозерный ГПЗ</t>
  </si>
  <si>
    <t xml:space="preserve"> Филиал Акционерного общества"СибурТюменьГаз"-«Белозерный газоперерабатывающий завод»</t>
  </si>
  <si>
    <t>40 месяцев</t>
  </si>
  <si>
    <t>Белозерный ГПК</t>
  </si>
  <si>
    <t>ООО «Белозерный ГПК»</t>
  </si>
  <si>
    <t>Общество с ограниченной ответственностью «Белозерный Газоперерабатывающий Комплекс»</t>
  </si>
  <si>
    <t xml:space="preserve">629850, РФ, ЯНАО, г.Муравленко, Суторминское месторождение, Пуровский район.
Требуется заявка на пропуск через пост Газпромнефть-ННГ  за 3 р/дня до поставки (пн-чт до 17:00, пт до 11:00) </t>
  </si>
  <si>
    <t>41 месяц</t>
  </si>
  <si>
    <t xml:space="preserve">БИАКСПЛЕН, Курск
</t>
  </si>
  <si>
    <t xml:space="preserve">Курский филиал ООО «БИАКСПЛЕН»
</t>
  </si>
  <si>
    <t>628606, РФ, ХМАО-Югра, г.Нижневартовск
Время работы склада с понедельника по четверг  08:00-16:00. в Пятницу - 08:00 - 10-30 (!); суббота и воскресенье - выходной.</t>
  </si>
  <si>
    <t>42 месяца</t>
  </si>
  <si>
    <t>БИАКСПЛЕН, Железнодорожный</t>
  </si>
  <si>
    <t xml:space="preserve">Железнодорожненский филиал  ООО </t>
  </si>
  <si>
    <t>109429, г. Москва, г. Москва, Капотня 2-й квартал 1-36</t>
  </si>
  <si>
    <t>43 месяца</t>
  </si>
  <si>
    <t>БИАКСПЛЕН, Новокуйбышевск</t>
  </si>
  <si>
    <t>«БИАКСПЛЕН»
Новокуйбышевский филиал ООО</t>
  </si>
  <si>
    <t>628183, а/о Ханты-Мансийский Автономный округ - Югра, г. Нягань, 29 км а/д Нягань-Талинка, стр. 39</t>
  </si>
  <si>
    <t>44 месяца</t>
  </si>
  <si>
    <t>Вынгапуровский ГПЗ</t>
  </si>
  <si>
    <t>"Вынгапуровский газоперерабатывающий завод" - Филиал Акционерного общества «СибурТюменьГаз»</t>
  </si>
  <si>
    <t>45 месяцев</t>
  </si>
  <si>
    <t>Губкинский  ГПЗ</t>
  </si>
  <si>
    <t>"Губкинский газоперерабатывающий завод" - Филиал Акционерного общества «СибурТюменьГаз»</t>
  </si>
  <si>
    <t>644035, обл. Омская, г. Омск, тракт Красноярский стр. 137</t>
  </si>
  <si>
    <t>46 месяцев</t>
  </si>
  <si>
    <t>ИТ-Сервис</t>
  </si>
  <si>
    <t>ООО «ИТ-Сервис»</t>
  </si>
  <si>
    <t xml:space="preserve">Общество с ограниченной ответственностью «ИТ-Сервис» </t>
  </si>
  <si>
    <t>606000, обл. Нижегородская, г. Дзержинск, Восточная Промышленная Зона д.</t>
  </si>
  <si>
    <t>47 месяцев</t>
  </si>
  <si>
    <t xml:space="preserve">Лахтинские газопроводы </t>
  </si>
  <si>
    <t>ООО «Лахтинские газопроводы »</t>
  </si>
  <si>
    <t>Общество с ограниченной ответственностью «Лахтинские газопроводы»</t>
  </si>
  <si>
    <t>628616, а/о Ханты-Мансийский Автономный округ - Югра, г. Нижневартовск, 13-й км Мегионской дороги</t>
  </si>
  <si>
    <t>48 месяцев</t>
  </si>
  <si>
    <t>Муравленковский ГПЗ</t>
  </si>
  <si>
    <t>"Муравленковский газоперерабатывающий завод" - Филиал Акционерного общества «СибурТюменьГаз»</t>
  </si>
  <si>
    <t>49 месяцев</t>
  </si>
  <si>
    <t>Нижневартовский ГПЗ</t>
  </si>
  <si>
    <t>Филиал Акционерного общества «СибурТюменьГаз» -"Нижневартовский газоперерабатывающий завод"</t>
  </si>
  <si>
    <t>117218, г. Москва, ул. Кржижановского, д. 16, корп. 1</t>
  </si>
  <si>
    <t>50 месяцев</t>
  </si>
  <si>
    <t>НПП Нефтехимия</t>
  </si>
  <si>
    <t>ООО «НПП Нефтехимия»</t>
  </si>
  <si>
    <t xml:space="preserve">Общество с ограниченной ответственностью «Научно-Производственное Предприятие Нефтехимия» </t>
  </si>
  <si>
    <t>117218, г. Москва, ул. Кржижановского, д. 6, к.3</t>
  </si>
  <si>
    <t>51 месяц</t>
  </si>
  <si>
    <t>Няганьгазпереработка</t>
  </si>
  <si>
    <t>Филиал Акционерного общества «СибурТюменьГаз» - «Няганьгазпереработка»</t>
  </si>
  <si>
    <t>121205, Москва.</t>
  </si>
  <si>
    <t>52 месяца</t>
  </si>
  <si>
    <t>Пластик-Геосинтетика</t>
  </si>
  <si>
    <t>ООО «Пластик-Геосинтетика»</t>
  </si>
  <si>
    <t xml:space="preserve">Общество с ограниченной ответственностью «Пластик-Геосинтетика» </t>
  </si>
  <si>
    <t>117997, г. Москва, ул. Кржижановского, д. 18, к.4</t>
  </si>
  <si>
    <t>53 месяца</t>
  </si>
  <si>
    <t>Полиом</t>
  </si>
  <si>
    <t>ООО «Полиом»</t>
  </si>
  <si>
    <t xml:space="preserve">Общество с ограниченной ответственностью «Омский Завод Полипропилена» </t>
  </si>
  <si>
    <t>56 месяцев</t>
  </si>
  <si>
    <t>РЦ СТГ</t>
  </si>
  <si>
    <t>Региональный центр обеспечения производства-филиал Акционерного общества «СибурТюменьГаз»</t>
  </si>
  <si>
    <t>628387, а/о Ханты-Мансийский Автономный округ - Югра, г. Пыть-Ях, микрорайон №7, д. 7А</t>
  </si>
  <si>
    <t>57 месяцев</t>
  </si>
  <si>
    <t>Сибгазполимер</t>
  </si>
  <si>
    <t>АО «Сибгазполимер»</t>
  </si>
  <si>
    <t>Акционерное общество «Сибгазполимер»</t>
  </si>
  <si>
    <t>628012, а/о Ханты-Мансийский Автономный округ - Югра, г. Ханты-Мансийск, ул. Мира, д. 149</t>
  </si>
  <si>
    <t>58 месяцев</t>
  </si>
  <si>
    <t>СИБУР ГЕОСИНТ</t>
  </si>
  <si>
    <t>ООО «СИБУР ГЕОСИНТ»</t>
  </si>
  <si>
    <t>Общество с ограниченной ответственностью «СИБУР ГЕОСИНТ»</t>
  </si>
  <si>
    <t>59 месяцев</t>
  </si>
  <si>
    <t>СИБУР-Инновации</t>
  </si>
  <si>
    <t>Общество с ограниченной ответственностью «СИБУР-Инновации»</t>
  </si>
  <si>
    <t>60 месяцев</t>
  </si>
  <si>
    <t>СИБУР ТЦРПП</t>
  </si>
  <si>
    <t>ООО «СИБУР ТЦРПП»</t>
  </si>
  <si>
    <t>Общество с ограниченной ответственностью «СИБУР Технический Центр по Развитию и Переработке Полиолефинов»</t>
  </si>
  <si>
    <t>188492, Ленинградская область, Кингисеппский район, Усть-Лужское сельское поселение, территория Морской торговый порт Усть-Луга Южный район, квартал КСУГ № 3.2, дом 1</t>
  </si>
  <si>
    <t>61 месяц</t>
  </si>
  <si>
    <t>СИБУР-Транс</t>
  </si>
  <si>
    <t>АО «СИБУР-Транс»</t>
  </si>
  <si>
    <t>Акционерное общество «СИБУР-Транс»</t>
  </si>
  <si>
    <t>62 месяца</t>
  </si>
  <si>
    <t>СОИР</t>
  </si>
  <si>
    <t>ООО «СОИР»</t>
  </si>
  <si>
    <t>Общество с ограниченной ответственностью «СОИР»</t>
  </si>
  <si>
    <t>63 месяца</t>
  </si>
  <si>
    <t>СПГ НОВАИНЖИНИРИНГ</t>
  </si>
  <si>
    <t>ООО «СПГ НОВАИНЖИНИРИНГ»</t>
  </si>
  <si>
    <t>Общество с ограниченной ответственностью «СПГ НОВАИНЖИНИРИНГ»</t>
  </si>
  <si>
    <t>64 месяца</t>
  </si>
  <si>
    <t>Южно-Балыкский ГПЗ</t>
  </si>
  <si>
    <t>«Южно-Балыкский газоперерабатывающий завод» - Филиал Акционерного общества «СибурТюменьГаз»</t>
  </si>
  <si>
    <t>65 месяцев</t>
  </si>
  <si>
    <t>Южно-Приобский ГПЗ</t>
  </si>
  <si>
    <t>ООО «Южно-Приобский ГПЗ»</t>
  </si>
  <si>
    <t>Общество с ограниченной ответственностью «Южно-Приобский Газоперерабатывающий Завод»</t>
  </si>
  <si>
    <t>66 месяцев</t>
  </si>
  <si>
    <t>УЭТП-НКНХ</t>
  </si>
  <si>
    <t>ООО "УЭТП-НКНХ"</t>
  </si>
  <si>
    <t>Общество с ограниченной ответственностью "Управление этиленопроводов-Нижнекамскнефтехим"</t>
  </si>
  <si>
    <t>67 месяцев</t>
  </si>
  <si>
    <t>УК ПОРТЭНЕРГО</t>
  </si>
  <si>
    <t>68 месяцев</t>
  </si>
  <si>
    <t>69 месяцев</t>
  </si>
  <si>
    <t>70 месяцев</t>
  </si>
  <si>
    <t>71 месяц</t>
  </si>
  <si>
    <t>72 месяца</t>
  </si>
  <si>
    <t>73 месяца</t>
  </si>
  <si>
    <t>74 месяца</t>
  </si>
  <si>
    <t>75 месяцев</t>
  </si>
  <si>
    <t>76 месяцев</t>
  </si>
  <si>
    <t>78 месяцев</t>
  </si>
  <si>
    <t>79 месяцев</t>
  </si>
  <si>
    <t>80 месяцев</t>
  </si>
  <si>
    <t>81 месяц</t>
  </si>
  <si>
    <t>82 месяца</t>
  </si>
  <si>
    <t>83 месяца</t>
  </si>
  <si>
    <t>84 месяца</t>
  </si>
  <si>
    <t>85 месяцев</t>
  </si>
  <si>
    <t>86 месяцев</t>
  </si>
  <si>
    <t>87 месяцев</t>
  </si>
  <si>
    <t>88 месяцев</t>
  </si>
  <si>
    <t>89 месяцев</t>
  </si>
  <si>
    <t>90 месяцев</t>
  </si>
  <si>
    <t>91 месяц</t>
  </si>
  <si>
    <t>92 месяца</t>
  </si>
  <si>
    <t>93 месяца</t>
  </si>
  <si>
    <t>94 месяца</t>
  </si>
  <si>
    <t>95 месяцев</t>
  </si>
  <si>
    <t>96 месяцев</t>
  </si>
  <si>
    <t>97 месяцев</t>
  </si>
  <si>
    <t>98 месяцев</t>
  </si>
  <si>
    <t>99 месяцев</t>
  </si>
  <si>
    <t>100 месяцев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</si>
</sst>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_);_(* \(#,##0.00\);_(* &quot;-&quot;??_);_(@_)"/>
    <numFmt numFmtId="165" formatCode="0.000"/>
    <numFmt numFmtId="166" formatCode="d\ mmmm\,\ yyyy"/>
  </numFmts>
  <fonts count="59">
    <font>
      <sz val="10"/>
      <name val="Arial Cyr"/>
      <charset val="204"/>
    </font>
    <font>
      <sz val="11"/>
      <name val="Arial Cyr"/>
      <charset val="204"/>
    </font>
    <font>
      <sz val="10"/>
      <name val="Arial"/>
      <family val="2"/>
      <charset val="204"/>
    </font>
    <font>
      <sz val="10"/>
      <name val="Arial Cyr"/>
      <charset val="204"/>
    </font>
    <font>
      <sz val="10"/>
      <name val="Helv"/>
    </font>
    <font>
      <b/>
      <sz val="12"/>
      <name val="Arial Cyr"/>
      <charset val="204"/>
    </font>
    <font>
      <b/>
      <sz val="10"/>
      <color theme="0"/>
      <name val="Arial Cyr"/>
      <charset val="204"/>
    </font>
    <font>
      <b/>
      <sz val="10"/>
      <name val="Arial Cyr"/>
      <charset val="204"/>
    </font>
    <font>
      <i/>
      <sz val="10"/>
      <name val="Arial Cyr"/>
      <charset val="204"/>
    </font>
    <font>
      <sz val="14"/>
      <name val="Times New Roman"/>
      <family val="1"/>
      <charset val="204"/>
    </font>
    <font>
      <b/>
      <sz val="14"/>
      <name val="Times New Roman"/>
      <family val="1"/>
      <charset val="204"/>
    </font>
    <font>
      <sz val="14"/>
      <color indexed="8"/>
      <name val="Times New Roman"/>
      <family val="1"/>
      <charset val="204"/>
    </font>
    <font>
      <b/>
      <sz val="9"/>
      <color theme="0"/>
      <name val="Arial"/>
      <family val="2"/>
      <charset val="204"/>
    </font>
    <font>
      <sz val="9"/>
      <color indexed="8"/>
      <name val="Arial"/>
      <family val="2"/>
      <charset val="204"/>
    </font>
    <font>
      <sz val="10"/>
      <name val="Times New Roman"/>
      <family val="1"/>
      <charset val="204"/>
    </font>
    <font>
      <sz val="9"/>
      <name val="Arial"/>
      <family val="2"/>
      <charset val="204"/>
    </font>
    <font>
      <sz val="11"/>
      <color indexed="8"/>
      <name val="Times New Roman"/>
      <family val="1"/>
      <charset val="204"/>
    </font>
    <font>
      <sz val="12"/>
      <color indexed="8"/>
      <name val="Times New Roman"/>
      <family val="1"/>
      <charset val="204"/>
    </font>
    <font>
      <u/>
      <sz val="10"/>
      <color theme="10"/>
      <name val="Arial Cyr"/>
      <family val="2"/>
      <charset val="204"/>
    </font>
    <font>
      <sz val="10"/>
      <color theme="1"/>
      <name val="Calibri"/>
      <family val="2"/>
      <charset val="204"/>
      <scheme val="minor"/>
    </font>
    <font>
      <b/>
      <sz val="10"/>
      <color rgb="FFFF0000"/>
      <name val="Arial Cyr"/>
      <charset val="204"/>
    </font>
    <font>
      <b/>
      <i/>
      <sz val="10"/>
      <name val="Arial Cyr"/>
      <charset val="204"/>
    </font>
    <font>
      <i/>
      <sz val="10"/>
      <color rgb="FFFF0000"/>
      <name val="Arial Cyr"/>
      <charset val="204"/>
    </font>
    <font>
      <u/>
      <sz val="10"/>
      <color theme="10"/>
      <name val="Arial Cyr"/>
      <charset val="204"/>
    </font>
    <font>
      <sz val="14"/>
      <name val="Arial Cyr"/>
      <charset val="204"/>
    </font>
    <font>
      <sz val="9"/>
      <color rgb="FF000000"/>
      <name val="Arial"/>
      <family val="2"/>
      <charset val="204"/>
    </font>
    <font>
      <b/>
      <sz val="8"/>
      <color theme="0"/>
      <name val="Arial Cyr"/>
      <charset val="204"/>
    </font>
    <font>
      <b/>
      <sz val="10"/>
      <color rgb="FFFFFF00"/>
      <name val="Arial Cyr"/>
      <charset val="204"/>
    </font>
    <font>
      <sz val="9"/>
      <color theme="1"/>
      <name val="Arial"/>
      <family val="2"/>
      <charset val="204"/>
    </font>
    <font>
      <sz val="18"/>
      <name val="Times New Roman"/>
      <family val="1"/>
      <charset val="204"/>
    </font>
    <font>
      <b/>
      <sz val="18"/>
      <name val="Times New Roman"/>
      <family val="1"/>
      <charset val="204"/>
    </font>
    <font>
      <sz val="18"/>
      <color theme="1"/>
      <name val="Times New Roman"/>
      <family val="1"/>
      <charset val="204"/>
    </font>
    <font>
      <b/>
      <sz val="18"/>
      <color rgb="FFFF0000"/>
      <name val="Times New Roman"/>
      <family val="1"/>
      <charset val="204"/>
    </font>
    <font>
      <i/>
      <sz val="18"/>
      <color rgb="FFFF0000"/>
      <name val="Times New Roman"/>
      <family val="1"/>
      <charset val="204"/>
    </font>
    <font>
      <b/>
      <sz val="18"/>
      <color theme="0" tint="-4.9989318521683403E-2"/>
      <name val="Times New Roman"/>
      <family val="1"/>
      <charset val="204"/>
    </font>
    <font>
      <sz val="24"/>
      <name val="Times New Roman"/>
      <family val="1"/>
      <charset val="204"/>
    </font>
    <font>
      <b/>
      <sz val="24"/>
      <name val="Times New Roman"/>
      <family val="1"/>
      <charset val="204"/>
    </font>
    <font>
      <b/>
      <sz val="24"/>
      <color theme="1"/>
      <name val="Times New Roman"/>
      <family val="1"/>
      <charset val="204"/>
    </font>
    <font>
      <sz val="24"/>
      <color indexed="8"/>
      <name val="Times New Roman"/>
      <family val="1"/>
      <charset val="204"/>
    </font>
    <font>
      <b/>
      <i/>
      <sz val="24"/>
      <name val="Times New Roman"/>
      <family val="1"/>
      <charset val="204"/>
    </font>
    <font>
      <sz val="14"/>
      <color theme="0"/>
      <name val="Arial"/>
      <family val="2"/>
      <charset val="204"/>
    </font>
    <font>
      <strike/>
      <sz val="24"/>
      <name val="Times New Roman"/>
      <family val="1"/>
      <charset val="204"/>
    </font>
    <font>
      <b/>
      <strike/>
      <sz val="24"/>
      <name val="Times New Roman"/>
      <family val="1"/>
      <charset val="204"/>
    </font>
    <font>
      <sz val="9"/>
      <color indexed="81"/>
      <name val="Tahoma"/>
      <family val="2"/>
      <charset val="204"/>
    </font>
    <font>
      <b/>
      <sz val="9"/>
      <color indexed="81"/>
      <name val="Tahoma"/>
      <family val="2"/>
      <charset val="204"/>
    </font>
    <font>
      <i/>
      <strike/>
      <sz val="10"/>
      <name val="Arial Cyr"/>
      <charset val="204"/>
    </font>
    <font>
      <b/>
      <sz val="10"/>
      <color theme="0"/>
      <name val="Segoe UI"/>
      <family val="2"/>
      <charset val="204"/>
    </font>
    <font>
      <sz val="10"/>
      <color rgb="FF000000"/>
      <name val="Arial"/>
      <family val="2"/>
      <charset val="204"/>
    </font>
    <font>
      <sz val="10"/>
      <color theme="1"/>
      <name val="Arial"/>
      <family val="2"/>
      <charset val="204"/>
    </font>
    <font>
      <sz val="18"/>
      <color theme="0"/>
      <name val="Times New Roman"/>
      <family val="1"/>
      <charset val="204"/>
    </font>
    <font>
      <b/>
      <sz val="24"/>
      <color theme="0"/>
      <name val="Times New Roman"/>
      <family val="1"/>
      <charset val="204"/>
    </font>
    <font>
      <sz val="10"/>
      <color indexed="8"/>
      <name val="Arial"/>
      <family val="2"/>
      <charset val="204"/>
    </font>
    <font>
      <sz val="10"/>
      <color indexed="8"/>
      <name val="Segoe UI"/>
      <family val="2"/>
      <charset val="204"/>
    </font>
    <font>
      <sz val="10"/>
      <name val="Segoe UI"/>
      <family val="2"/>
      <charset val="204"/>
    </font>
    <font>
      <sz val="10"/>
      <color rgb="FF000000"/>
      <name val="Segoe UI"/>
      <family val="2"/>
      <charset val="204"/>
    </font>
    <font>
      <sz val="9"/>
      <name val="Segoe UI"/>
      <family val="2"/>
      <charset val="204"/>
    </font>
    <font>
      <sz val="10"/>
      <color theme="0"/>
      <name val="Arial Cyr"/>
      <charset val="204"/>
    </font>
    <font>
      <sz val="20"/>
      <name val="Times New Roman"/>
      <family val="1"/>
      <charset val="204"/>
    </font>
    <font>
      <b/>
      <i/>
      <sz val="10"/>
      <color rgb="FFFF0000"/>
      <name val="Arial Cyr"/>
      <charset val="204"/>
    </font>
  </fonts>
  <fills count="13">
    <fill>
      <patternFill patternType="none"/>
    </fill>
    <fill>
      <patternFill patternType="gray125"/>
    </fill>
    <fill>
      <patternFill patternType="solid">
        <fgColor rgb="FF008080"/>
        <bgColor indexed="64"/>
      </patternFill>
    </fill>
    <fill>
      <patternFill patternType="solid">
        <fgColor theme="0" tint="-0.499984740745262"/>
        <bgColor indexed="64"/>
      </patternFill>
    </fill>
    <fill>
      <patternFill patternType="solid">
        <fgColor theme="0"/>
        <bgColor indexed="64"/>
      </patternFill>
    </fill>
    <fill>
      <patternFill patternType="solid">
        <fgColor rgb="FFFFFFCC"/>
        <bgColor indexed="64"/>
      </patternFill>
    </fill>
    <fill>
      <patternFill patternType="solid">
        <fgColor theme="0" tint="-4.9989318521683403E-2"/>
        <bgColor indexed="64"/>
      </patternFill>
    </fill>
    <fill>
      <patternFill patternType="solid">
        <fgColor indexed="9"/>
        <bgColor indexed="64"/>
      </patternFill>
    </fill>
    <fill>
      <patternFill patternType="solid">
        <fgColor rgb="FFF8F8F8"/>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FFFF00"/>
        <bgColor indexed="64"/>
      </patternFill>
    </fill>
    <fill>
      <patternFill patternType="solid">
        <fgColor theme="6"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bottom/>
      <diagonal/>
    </border>
    <border>
      <left/>
      <right style="hair">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thin">
        <color indexed="64"/>
      </left>
      <right/>
      <top style="thin">
        <color indexed="64"/>
      </top>
      <bottom/>
      <diagonal/>
    </border>
    <border>
      <left style="hair">
        <color indexed="64"/>
      </left>
      <right style="hair">
        <color indexed="64"/>
      </right>
      <top style="hair">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diagonal/>
    </border>
  </borders>
  <cellStyleXfs count="10">
    <xf numFmtId="0" fontId="0" fillId="0" borderId="0"/>
    <xf numFmtId="0" fontId="3" fillId="0" borderId="0"/>
    <xf numFmtId="0" fontId="2" fillId="0" borderId="0"/>
    <xf numFmtId="0" fontId="1" fillId="0" borderId="0"/>
    <xf numFmtId="0" fontId="4" fillId="0" borderId="0"/>
    <xf numFmtId="164" fontId="3" fillId="0" borderId="0" applyFont="0" applyFill="0" applyBorder="0" applyAlignment="0" applyProtection="0"/>
    <xf numFmtId="9" fontId="3" fillId="0" borderId="0" applyFont="0" applyFill="0" applyBorder="0" applyAlignment="0" applyProtection="0"/>
    <xf numFmtId="0" fontId="18" fillId="0" borderId="0" applyNumberFormat="0" applyFill="0" applyBorder="0" applyAlignment="0" applyProtection="0"/>
    <xf numFmtId="0" fontId="19" fillId="0" borderId="0"/>
    <xf numFmtId="0" fontId="23" fillId="0" borderId="0" applyNumberFormat="0" applyFill="0" applyBorder="0" applyAlignment="0" applyProtection="0"/>
  </cellStyleXfs>
  <cellXfs count="399">
    <xf numFmtId="0" fontId="0" fillId="0" borderId="0" xfId="0"/>
    <xf numFmtId="0" fontId="6"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0" fillId="0" borderId="0" xfId="0" applyAlignment="1">
      <alignment horizontal="center" vertical="center"/>
    </xf>
    <xf numFmtId="0" fontId="12" fillId="9" borderId="1" xfId="0" applyFont="1" applyFill="1" applyBorder="1" applyAlignment="1">
      <alignment horizontal="center" vertical="center"/>
    </xf>
    <xf numFmtId="0" fontId="12" fillId="9" borderId="10" xfId="0" applyFont="1" applyFill="1" applyBorder="1" applyAlignment="1">
      <alignment horizontal="center" vertical="center"/>
    </xf>
    <xf numFmtId="0" fontId="13" fillId="0" borderId="2" xfId="1" applyFont="1" applyBorder="1" applyAlignment="1">
      <alignment vertical="top" wrapText="1"/>
    </xf>
    <xf numFmtId="0" fontId="13" fillId="0" borderId="1" xfId="1" applyFont="1" applyBorder="1" applyAlignment="1">
      <alignment vertical="top" wrapText="1"/>
    </xf>
    <xf numFmtId="0" fontId="14" fillId="0" borderId="0" xfId="0" applyFont="1"/>
    <xf numFmtId="0" fontId="9" fillId="0" borderId="0" xfId="1" applyFont="1" applyAlignment="1">
      <alignment vertical="top" wrapText="1"/>
    </xf>
    <xf numFmtId="0" fontId="16" fillId="0" borderId="0" xfId="1" applyFont="1" applyAlignment="1">
      <alignment vertical="top" wrapText="1"/>
    </xf>
    <xf numFmtId="0" fontId="11" fillId="0" borderId="0" xfId="1" applyFont="1" applyAlignment="1">
      <alignment vertical="top"/>
    </xf>
    <xf numFmtId="0" fontId="14" fillId="0" borderId="0" xfId="1" applyFont="1" applyAlignment="1" applyProtection="1">
      <alignment vertical="top" wrapText="1"/>
      <protection locked="0"/>
    </xf>
    <xf numFmtId="0" fontId="14" fillId="0" borderId="0" xfId="1" applyFont="1" applyAlignment="1" applyProtection="1">
      <alignment vertical="top"/>
      <protection locked="0"/>
    </xf>
    <xf numFmtId="0" fontId="15" fillId="0" borderId="0" xfId="0" applyFont="1"/>
    <xf numFmtId="0" fontId="9" fillId="0" borderId="0" xfId="1" applyFont="1" applyAlignment="1" applyProtection="1">
      <alignment vertical="top" wrapText="1"/>
      <protection locked="0"/>
    </xf>
    <xf numFmtId="0" fontId="9" fillId="0" borderId="0" xfId="1" applyFont="1" applyAlignment="1" applyProtection="1">
      <alignment vertical="top"/>
      <protection locked="0"/>
    </xf>
    <xf numFmtId="0" fontId="17" fillId="0" borderId="0" xfId="1" applyFont="1" applyAlignment="1">
      <alignment vertical="top" wrapText="1"/>
    </xf>
    <xf numFmtId="0" fontId="9" fillId="0" borderId="0" xfId="1" applyFont="1" applyAlignment="1">
      <alignment horizontal="justify" vertical="top" wrapText="1"/>
    </xf>
    <xf numFmtId="0" fontId="8" fillId="0" borderId="0" xfId="0" applyFont="1"/>
    <xf numFmtId="0" fontId="0" fillId="0" borderId="1" xfId="0" applyBorder="1" applyAlignment="1">
      <alignment horizontal="center" vertical="center"/>
    </xf>
    <xf numFmtId="0" fontId="10" fillId="0" borderId="0" xfId="1" applyFont="1" applyAlignment="1" applyProtection="1">
      <alignment horizontal="justify" vertical="top" wrapText="1"/>
      <protection locked="0"/>
    </xf>
    <xf numFmtId="0" fontId="0" fillId="0" borderId="1" xfId="0" applyBorder="1" applyAlignment="1">
      <alignment vertical="top" wrapText="1"/>
    </xf>
    <xf numFmtId="0" fontId="23" fillId="0" borderId="1" xfId="9" applyBorder="1" applyAlignment="1">
      <alignment horizontal="center" vertical="center"/>
    </xf>
    <xf numFmtId="0" fontId="24" fillId="0" borderId="0" xfId="0" applyFont="1" applyAlignment="1">
      <alignment horizontal="left" vertical="center"/>
    </xf>
    <xf numFmtId="0" fontId="24" fillId="0" borderId="0" xfId="0" applyFont="1"/>
    <xf numFmtId="0" fontId="0" fillId="0" borderId="0" xfId="0" applyProtection="1">
      <protection locked="0"/>
    </xf>
    <xf numFmtId="0" fontId="5" fillId="0" borderId="0" xfId="0" applyFont="1" applyAlignment="1" applyProtection="1">
      <alignment vertical="center"/>
      <protection locked="0"/>
    </xf>
    <xf numFmtId="0" fontId="6" fillId="2" borderId="1" xfId="0" applyFont="1" applyFill="1" applyBorder="1" applyAlignment="1" applyProtection="1">
      <alignment horizontal="center" vertical="center" wrapText="1"/>
      <protection locked="0"/>
    </xf>
    <xf numFmtId="0" fontId="6"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11" xfId="0" applyBorder="1" applyAlignment="1" applyProtection="1">
      <alignment horizontal="center" vertical="center"/>
      <protection locked="0"/>
    </xf>
    <xf numFmtId="0" fontId="7" fillId="4" borderId="1" xfId="0" applyFont="1" applyFill="1" applyBorder="1" applyProtection="1">
      <protection locked="0"/>
    </xf>
    <xf numFmtId="0" fontId="0" fillId="0" borderId="10" xfId="0" applyBorder="1" applyProtection="1">
      <protection locked="0"/>
    </xf>
    <xf numFmtId="0" fontId="0" fillId="6" borderId="2" xfId="0" applyFill="1" applyBorder="1" applyProtection="1">
      <protection locked="0"/>
    </xf>
    <xf numFmtId="0" fontId="0" fillId="5" borderId="2" xfId="0" applyFill="1" applyBorder="1" applyAlignment="1" applyProtection="1">
      <alignment wrapText="1"/>
      <protection locked="0"/>
    </xf>
    <xf numFmtId="0" fontId="0" fillId="0" borderId="1" xfId="0" applyBorder="1" applyProtection="1">
      <protection locked="0"/>
    </xf>
    <xf numFmtId="0" fontId="7" fillId="0" borderId="1" xfId="0" applyFont="1" applyBorder="1" applyAlignment="1" applyProtection="1">
      <alignment wrapText="1"/>
      <protection locked="0"/>
    </xf>
    <xf numFmtId="0" fontId="0" fillId="5" borderId="2" xfId="0" applyFill="1" applyBorder="1" applyAlignment="1" applyProtection="1">
      <alignment vertical="center" wrapText="1"/>
      <protection locked="0"/>
    </xf>
    <xf numFmtId="0" fontId="0" fillId="0" borderId="10" xfId="0" applyBorder="1" applyAlignment="1" applyProtection="1">
      <alignment horizontal="center" vertical="center"/>
      <protection locked="0"/>
    </xf>
    <xf numFmtId="0" fontId="8" fillId="4" borderId="1" xfId="0" applyFont="1" applyFill="1" applyBorder="1" applyAlignment="1" applyProtection="1">
      <alignment vertical="center" wrapText="1"/>
      <protection locked="0"/>
    </xf>
    <xf numFmtId="0" fontId="8" fillId="4" borderId="1" xfId="0" applyFont="1" applyFill="1" applyBorder="1" applyAlignment="1" applyProtection="1">
      <alignment wrapText="1"/>
      <protection locked="0"/>
    </xf>
    <xf numFmtId="0" fontId="0" fillId="5" borderId="2" xfId="0" applyFill="1" applyBorder="1" applyAlignment="1" applyProtection="1">
      <alignment horizontal="left" vertical="center" wrapText="1"/>
      <protection locked="0"/>
    </xf>
    <xf numFmtId="0" fontId="7" fillId="4" borderId="1" xfId="0" applyFont="1" applyFill="1" applyBorder="1" applyAlignment="1" applyProtection="1">
      <alignment wrapText="1"/>
      <protection locked="0"/>
    </xf>
    <xf numFmtId="0" fontId="7" fillId="0" borderId="1" xfId="0" applyFont="1" applyBorder="1" applyAlignment="1" applyProtection="1">
      <alignment vertical="center" wrapText="1"/>
      <protection locked="0"/>
    </xf>
    <xf numFmtId="0" fontId="7" fillId="4" borderId="1" xfId="0" applyFont="1" applyFill="1" applyBorder="1" applyAlignment="1" applyProtection="1">
      <alignment vertical="center" wrapText="1"/>
      <protection locked="0"/>
    </xf>
    <xf numFmtId="0" fontId="0" fillId="6" borderId="2" xfId="0" applyFill="1" applyBorder="1" applyAlignment="1" applyProtection="1">
      <alignment vertical="center"/>
      <protection locked="0"/>
    </xf>
    <xf numFmtId="14" fontId="0" fillId="5" borderId="2" xfId="0" applyNumberFormat="1" applyFill="1" applyBorder="1" applyAlignment="1" applyProtection="1">
      <alignment horizontal="left" vertical="center" wrapText="1"/>
      <protection locked="0"/>
    </xf>
    <xf numFmtId="16" fontId="7" fillId="0" borderId="1" xfId="0" applyNumberFormat="1" applyFont="1" applyBorder="1" applyAlignment="1" applyProtection="1">
      <alignment vertical="center"/>
      <protection locked="0"/>
    </xf>
    <xf numFmtId="0" fontId="0" fillId="6" borderId="2" xfId="0" applyFill="1" applyBorder="1" applyAlignment="1" applyProtection="1">
      <alignment horizontal="left" vertical="center" wrapText="1"/>
      <protection locked="0"/>
    </xf>
    <xf numFmtId="0" fontId="7" fillId="4" borderId="1" xfId="0" applyFont="1" applyFill="1" applyBorder="1" applyAlignment="1" applyProtection="1">
      <alignment horizontal="left" wrapText="1"/>
      <protection locked="0"/>
    </xf>
    <xf numFmtId="0" fontId="0" fillId="6" borderId="2" xfId="0" applyFill="1" applyBorder="1" applyAlignment="1" applyProtection="1">
      <alignment vertical="center" wrapText="1"/>
      <protection locked="0"/>
    </xf>
    <xf numFmtId="0" fontId="8" fillId="4" borderId="1" xfId="0" applyFont="1" applyFill="1" applyBorder="1" applyAlignment="1" applyProtection="1">
      <alignment horizontal="left" wrapText="1"/>
      <protection locked="0"/>
    </xf>
    <xf numFmtId="0" fontId="8" fillId="6" borderId="2" xfId="0" applyFont="1" applyFill="1" applyBorder="1" applyAlignment="1" applyProtection="1">
      <alignment vertical="center" wrapText="1"/>
      <protection locked="0"/>
    </xf>
    <xf numFmtId="0" fontId="8" fillId="0" borderId="10" xfId="0" applyFont="1" applyBorder="1" applyProtection="1">
      <protection locked="0"/>
    </xf>
    <xf numFmtId="0" fontId="8" fillId="0" borderId="0" xfId="0" applyFont="1" applyProtection="1">
      <protection locked="0"/>
    </xf>
    <xf numFmtId="0" fontId="7" fillId="4" borderId="1" xfId="0" applyFont="1" applyFill="1" applyBorder="1" applyAlignment="1" applyProtection="1">
      <alignment horizontal="left" vertical="top" wrapText="1"/>
      <protection locked="0"/>
    </xf>
    <xf numFmtId="0" fontId="0" fillId="5" borderId="2" xfId="0" applyFill="1" applyBorder="1" applyAlignment="1" applyProtection="1">
      <alignment horizontal="left" vertical="center"/>
      <protection locked="0"/>
    </xf>
    <xf numFmtId="9" fontId="0" fillId="6" borderId="2" xfId="6" applyFont="1" applyFill="1" applyBorder="1" applyAlignment="1" applyProtection="1">
      <alignment horizontal="left" vertical="center"/>
      <protection locked="0"/>
    </xf>
    <xf numFmtId="14" fontId="0" fillId="5" borderId="2" xfId="0" applyNumberFormat="1" applyFill="1" applyBorder="1" applyAlignment="1" applyProtection="1">
      <alignment horizontal="left" vertical="center"/>
      <protection locked="0"/>
    </xf>
    <xf numFmtId="16" fontId="8" fillId="4" borderId="1" xfId="0" applyNumberFormat="1" applyFont="1" applyFill="1" applyBorder="1" applyAlignment="1" applyProtection="1">
      <alignment vertical="center" wrapText="1"/>
      <protection locked="0"/>
    </xf>
    <xf numFmtId="0" fontId="7" fillId="0" borderId="1" xfId="0" applyFont="1" applyBorder="1" applyAlignment="1" applyProtection="1">
      <alignment horizontal="left" vertical="center"/>
      <protection locked="0"/>
    </xf>
    <xf numFmtId="0" fontId="0" fillId="0" borderId="12" xfId="0" applyBorder="1" applyProtection="1">
      <protection locked="0"/>
    </xf>
    <xf numFmtId="0" fontId="26" fillId="3" borderId="11" xfId="0" applyFont="1" applyFill="1" applyBorder="1" applyAlignment="1" applyProtection="1">
      <alignment horizontal="center" vertical="center" wrapText="1"/>
      <protection locked="0"/>
    </xf>
    <xf numFmtId="0" fontId="0" fillId="10" borderId="1" xfId="0" applyFill="1" applyBorder="1" applyAlignment="1" applyProtection="1">
      <alignment vertical="center" wrapText="1"/>
      <protection locked="0"/>
    </xf>
    <xf numFmtId="0" fontId="0" fillId="0" borderId="1" xfId="0" applyBorder="1" applyAlignment="1" applyProtection="1">
      <alignment horizontal="center" vertical="center"/>
      <protection locked="0"/>
    </xf>
    <xf numFmtId="0" fontId="8" fillId="0" borderId="1" xfId="0" applyFont="1" applyBorder="1" applyAlignment="1" applyProtection="1">
      <alignment vertical="center"/>
      <protection locked="0"/>
    </xf>
    <xf numFmtId="0" fontId="8" fillId="0" borderId="1" xfId="0" applyFont="1" applyBorder="1" applyAlignment="1" applyProtection="1">
      <alignment vertical="center" wrapText="1"/>
      <protection locked="0"/>
    </xf>
    <xf numFmtId="9" fontId="0" fillId="5" borderId="1" xfId="6" applyFont="1" applyFill="1" applyBorder="1" applyAlignment="1" applyProtection="1">
      <alignment horizontal="left" vertical="center"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0" fontId="0" fillId="0" borderId="12" xfId="0" applyBorder="1" applyAlignment="1" applyProtection="1">
      <alignment horizontal="center" vertical="center"/>
      <protection locked="0"/>
    </xf>
    <xf numFmtId="9" fontId="0" fillId="10" borderId="2" xfId="6" applyFont="1" applyFill="1" applyBorder="1" applyAlignment="1">
      <alignment horizontal="left" vertical="center"/>
    </xf>
    <xf numFmtId="0" fontId="0" fillId="10" borderId="2" xfId="0" applyFill="1" applyBorder="1" applyAlignment="1" applyProtection="1">
      <alignment vertical="center" wrapText="1"/>
      <protection locked="0"/>
    </xf>
    <xf numFmtId="0" fontId="0" fillId="0" borderId="1" xfId="0" applyBorder="1" applyAlignment="1">
      <alignment wrapText="1"/>
    </xf>
    <xf numFmtId="0" fontId="0" fillId="0" borderId="10" xfId="0" applyBorder="1"/>
    <xf numFmtId="0" fontId="0" fillId="0" borderId="10" xfId="0" applyBorder="1" applyAlignment="1">
      <alignment horizontal="center" vertical="center"/>
    </xf>
    <xf numFmtId="49" fontId="0" fillId="5" borderId="2" xfId="0" applyNumberFormat="1" applyFill="1" applyBorder="1" applyAlignment="1">
      <alignment horizontal="left" vertical="center" wrapText="1"/>
    </xf>
    <xf numFmtId="49" fontId="0" fillId="5" borderId="2" xfId="0" applyNumberFormat="1" applyFill="1" applyBorder="1" applyAlignment="1" applyProtection="1">
      <alignment vertical="center"/>
      <protection locked="0"/>
    </xf>
    <xf numFmtId="0" fontId="29" fillId="0" borderId="0" xfId="1" applyFont="1"/>
    <xf numFmtId="0" fontId="29" fillId="0" borderId="0" xfId="1" applyFont="1" applyAlignment="1">
      <alignment vertical="center"/>
    </xf>
    <xf numFmtId="0" fontId="30" fillId="0" borderId="0" xfId="1" applyFont="1" applyAlignment="1">
      <alignment horizontal="justify" vertical="top"/>
    </xf>
    <xf numFmtId="0" fontId="30" fillId="6" borderId="1" xfId="1" applyFont="1" applyFill="1" applyBorder="1" applyAlignment="1" applyProtection="1">
      <alignment horizontal="center" vertical="center" wrapText="1"/>
      <protection locked="0"/>
    </xf>
    <xf numFmtId="0" fontId="29" fillId="0" borderId="0" xfId="1" applyFont="1" applyAlignment="1" applyProtection="1">
      <alignment vertical="center"/>
      <protection locked="0"/>
    </xf>
    <xf numFmtId="0" fontId="29" fillId="0" borderId="1" xfId="1" applyFont="1" applyBorder="1" applyAlignment="1" applyProtection="1">
      <alignment horizontal="justify" vertical="center" wrapText="1"/>
      <protection locked="0"/>
    </xf>
    <xf numFmtId="0" fontId="29" fillId="0" borderId="1" xfId="1" applyFont="1" applyBorder="1" applyAlignment="1" applyProtection="1">
      <alignment horizontal="left" vertical="center" wrapText="1"/>
      <protection locked="0"/>
    </xf>
    <xf numFmtId="49" fontId="30" fillId="7" borderId="1" xfId="1" applyNumberFormat="1" applyFont="1" applyFill="1" applyBorder="1" applyAlignment="1" applyProtection="1">
      <alignment horizontal="center" vertical="center" wrapText="1"/>
      <protection locked="0"/>
    </xf>
    <xf numFmtId="0" fontId="29" fillId="0" borderId="1" xfId="1" applyFont="1" applyBorder="1" applyAlignment="1" applyProtection="1">
      <alignment horizontal="center" vertical="center" wrapText="1"/>
      <protection locked="0"/>
    </xf>
    <xf numFmtId="165" fontId="29" fillId="0" borderId="1" xfId="5" applyNumberFormat="1" applyFont="1" applyBorder="1" applyAlignment="1" applyProtection="1">
      <alignment horizontal="right" vertical="center" wrapText="1"/>
      <protection locked="0"/>
    </xf>
    <xf numFmtId="4" fontId="29" fillId="0" borderId="1" xfId="1" applyNumberFormat="1" applyFont="1" applyBorder="1" applyAlignment="1" applyProtection="1">
      <alignment horizontal="right" vertical="center"/>
      <protection locked="0"/>
    </xf>
    <xf numFmtId="4" fontId="29" fillId="8" borderId="1" xfId="3" applyNumberFormat="1" applyFont="1" applyFill="1" applyBorder="1" applyAlignment="1" applyProtection="1">
      <alignment horizontal="right" vertical="center" wrapText="1"/>
      <protection locked="0"/>
    </xf>
    <xf numFmtId="9" fontId="29" fillId="0" borderId="1" xfId="6" applyFont="1" applyBorder="1" applyAlignment="1" applyProtection="1">
      <alignment horizontal="right" vertical="center"/>
      <protection locked="0"/>
    </xf>
    <xf numFmtId="4" fontId="29" fillId="8" borderId="1" xfId="3" applyNumberFormat="1" applyFont="1" applyFill="1" applyBorder="1" applyAlignment="1" applyProtection="1">
      <alignment horizontal="center" vertical="center" wrapText="1"/>
      <protection locked="0"/>
    </xf>
    <xf numFmtId="14" fontId="31" fillId="0" borderId="1" xfId="3" applyNumberFormat="1" applyFont="1" applyBorder="1" applyAlignment="1" applyProtection="1">
      <alignment horizontal="right" vertical="center" wrapText="1"/>
      <protection locked="0"/>
    </xf>
    <xf numFmtId="0" fontId="30" fillId="6" borderId="2" xfId="1" applyFont="1" applyFill="1" applyBorder="1" applyAlignment="1" applyProtection="1">
      <alignment horizontal="left" vertical="center"/>
      <protection locked="0"/>
    </xf>
    <xf numFmtId="0" fontId="30" fillId="6" borderId="6" xfId="1" applyFont="1" applyFill="1" applyBorder="1" applyAlignment="1" applyProtection="1">
      <alignment horizontal="left" vertical="center"/>
      <protection locked="0"/>
    </xf>
    <xf numFmtId="0" fontId="30" fillId="6" borderId="7" xfId="1" applyFont="1" applyFill="1" applyBorder="1" applyAlignment="1" applyProtection="1">
      <alignment horizontal="left" vertical="center"/>
      <protection locked="0"/>
    </xf>
    <xf numFmtId="0" fontId="29" fillId="6" borderId="1" xfId="1" applyFont="1" applyFill="1" applyBorder="1" applyAlignment="1" applyProtection="1">
      <alignment horizontal="center" vertical="center" wrapText="1"/>
      <protection locked="0"/>
    </xf>
    <xf numFmtId="164" fontId="30" fillId="6" borderId="1" xfId="5" applyFont="1" applyFill="1" applyBorder="1" applyAlignment="1" applyProtection="1">
      <alignment horizontal="right" vertical="center"/>
      <protection locked="0"/>
    </xf>
    <xf numFmtId="1" fontId="30" fillId="6" borderId="1" xfId="1" applyNumberFormat="1" applyFont="1" applyFill="1" applyBorder="1" applyAlignment="1" applyProtection="1">
      <alignment horizontal="right" vertical="center"/>
      <protection locked="0"/>
    </xf>
    <xf numFmtId="4" fontId="30" fillId="6" borderId="1" xfId="1" applyNumberFormat="1" applyFont="1" applyFill="1" applyBorder="1" applyAlignment="1" applyProtection="1">
      <alignment horizontal="right" vertical="center"/>
      <protection locked="0"/>
    </xf>
    <xf numFmtId="4" fontId="32" fillId="6" borderId="1" xfId="1" applyNumberFormat="1" applyFont="1" applyFill="1" applyBorder="1" applyAlignment="1" applyProtection="1">
      <alignment horizontal="right" vertical="center"/>
      <protection locked="0"/>
    </xf>
    <xf numFmtId="0" fontId="29" fillId="6" borderId="2" xfId="1" applyFont="1" applyFill="1" applyBorder="1" applyAlignment="1" applyProtection="1">
      <alignment vertical="top"/>
      <protection locked="0"/>
    </xf>
    <xf numFmtId="0" fontId="29" fillId="6" borderId="6" xfId="1" applyFont="1" applyFill="1" applyBorder="1" applyAlignment="1" applyProtection="1">
      <alignment vertical="top" wrapText="1"/>
      <protection locked="0"/>
    </xf>
    <xf numFmtId="4" fontId="29" fillId="6" borderId="6" xfId="1" applyNumberFormat="1" applyFont="1" applyFill="1" applyBorder="1" applyAlignment="1" applyProtection="1">
      <alignment horizontal="right" vertical="top" wrapText="1"/>
      <protection locked="0"/>
    </xf>
    <xf numFmtId="0" fontId="29" fillId="6" borderId="6" xfId="1" applyFont="1" applyFill="1" applyBorder="1" applyAlignment="1" applyProtection="1">
      <alignment horizontal="left" vertical="top" wrapText="1"/>
      <protection locked="0"/>
    </xf>
    <xf numFmtId="0" fontId="29" fillId="6" borderId="6" xfId="1" applyFont="1" applyFill="1" applyBorder="1" applyProtection="1">
      <protection locked="0"/>
    </xf>
    <xf numFmtId="0" fontId="29" fillId="0" borderId="0" xfId="1" applyFont="1" applyAlignment="1">
      <alignment vertical="top"/>
    </xf>
    <xf numFmtId="0" fontId="29" fillId="0" borderId="14" xfId="1" applyFont="1" applyBorder="1" applyProtection="1">
      <protection locked="0"/>
    </xf>
    <xf numFmtId="0" fontId="29" fillId="0" borderId="0" xfId="1" applyFont="1" applyProtection="1">
      <protection locked="0"/>
    </xf>
    <xf numFmtId="0" fontId="29" fillId="8" borderId="1" xfId="1" applyFont="1" applyFill="1" applyBorder="1" applyAlignment="1" applyProtection="1">
      <alignment horizontal="justify" vertical="center" wrapText="1"/>
      <protection locked="0"/>
    </xf>
    <xf numFmtId="0" fontId="29" fillId="8" borderId="1" xfId="1" applyFont="1" applyFill="1" applyBorder="1" applyAlignment="1" applyProtection="1">
      <alignment horizontal="justify" vertical="center"/>
      <protection locked="0"/>
    </xf>
    <xf numFmtId="165" fontId="29" fillId="8" borderId="1" xfId="5" applyNumberFormat="1" applyFont="1" applyFill="1" applyBorder="1" applyAlignment="1" applyProtection="1">
      <alignment horizontal="justify" vertical="center" wrapText="1"/>
      <protection locked="0"/>
    </xf>
    <xf numFmtId="4" fontId="29" fillId="8" borderId="1" xfId="1" applyNumberFormat="1" applyFont="1" applyFill="1" applyBorder="1" applyAlignment="1" applyProtection="1">
      <alignment horizontal="right" vertical="center"/>
      <protection locked="0"/>
    </xf>
    <xf numFmtId="9" fontId="29" fillId="8" borderId="1" xfId="6" applyFont="1" applyFill="1" applyBorder="1" applyAlignment="1" applyProtection="1">
      <alignment horizontal="justify" vertical="center" wrapText="1"/>
      <protection locked="0"/>
    </xf>
    <xf numFmtId="4" fontId="29" fillId="0" borderId="14" xfId="3" applyNumberFormat="1" applyFont="1" applyBorder="1" applyAlignment="1" applyProtection="1">
      <alignment horizontal="right" vertical="center" wrapText="1"/>
      <protection locked="0"/>
    </xf>
    <xf numFmtId="4" fontId="29" fillId="0" borderId="0" xfId="3" applyNumberFormat="1" applyFont="1" applyAlignment="1" applyProtection="1">
      <alignment horizontal="right" vertical="center" wrapText="1"/>
      <protection locked="0"/>
    </xf>
    <xf numFmtId="0" fontId="29" fillId="0" borderId="0" xfId="1" applyFont="1" applyAlignment="1">
      <alignment horizontal="justify"/>
    </xf>
    <xf numFmtId="0" fontId="29" fillId="0" borderId="0" xfId="1" applyFont="1" applyAlignment="1">
      <alignment horizontal="justify" vertical="top" wrapText="1"/>
    </xf>
    <xf numFmtId="4" fontId="29" fillId="0" borderId="0" xfId="1" applyNumberFormat="1" applyFont="1" applyAlignment="1">
      <alignment horizontal="justify" vertical="top" wrapText="1"/>
    </xf>
    <xf numFmtId="165" fontId="29" fillId="8" borderId="1" xfId="1" applyNumberFormat="1" applyFont="1" applyFill="1" applyBorder="1" applyAlignment="1" applyProtection="1">
      <alignment horizontal="justify" vertical="center" wrapText="1"/>
      <protection locked="0"/>
    </xf>
    <xf numFmtId="0" fontId="33" fillId="0" borderId="0" xfId="1" applyFont="1" applyProtection="1">
      <protection locked="0"/>
    </xf>
    <xf numFmtId="0" fontId="7" fillId="0" borderId="6" xfId="0" applyFont="1" applyBorder="1" applyAlignment="1" applyProtection="1">
      <alignment vertical="center" wrapText="1"/>
      <protection locked="0"/>
    </xf>
    <xf numFmtId="0" fontId="8" fillId="4" borderId="1" xfId="0" applyFont="1" applyFill="1" applyBorder="1" applyAlignment="1">
      <alignment vertical="center" wrapText="1"/>
    </xf>
    <xf numFmtId="49" fontId="0" fillId="5" borderId="2" xfId="0" applyNumberFormat="1" applyFill="1" applyBorder="1" applyAlignment="1" applyProtection="1">
      <alignment vertical="center" wrapText="1"/>
      <protection locked="0"/>
    </xf>
    <xf numFmtId="49" fontId="0" fillId="5" borderId="2" xfId="0" applyNumberFormat="1" applyFill="1" applyBorder="1" applyAlignment="1" applyProtection="1">
      <alignment horizontal="left" wrapText="1"/>
      <protection locked="0"/>
    </xf>
    <xf numFmtId="0" fontId="0" fillId="0" borderId="1" xfId="0" quotePrefix="1" applyBorder="1" applyAlignment="1" applyProtection="1">
      <alignment vertical="center"/>
      <protection locked="0"/>
    </xf>
    <xf numFmtId="0" fontId="8" fillId="0" borderId="1" xfId="0" quotePrefix="1" applyFont="1" applyBorder="1" applyAlignment="1" applyProtection="1">
      <alignment vertical="center"/>
      <protection locked="0"/>
    </xf>
    <xf numFmtId="0" fontId="10" fillId="0" borderId="1" xfId="1" applyFont="1" applyBorder="1" applyAlignment="1" applyProtection="1">
      <alignment horizontal="center" vertical="center" wrapText="1"/>
      <protection locked="0"/>
    </xf>
    <xf numFmtId="0" fontId="7" fillId="4" borderId="1" xfId="0" applyFont="1" applyFill="1" applyBorder="1"/>
    <xf numFmtId="49" fontId="0" fillId="5" borderId="2" xfId="0" applyNumberFormat="1" applyFill="1" applyBorder="1" applyAlignment="1">
      <alignment horizontal="left"/>
    </xf>
    <xf numFmtId="0" fontId="29" fillId="0" borderId="0" xfId="1" applyFont="1" applyAlignment="1">
      <alignment horizontal="left" vertical="top" wrapText="1"/>
    </xf>
    <xf numFmtId="0" fontId="30" fillId="6" borderId="1" xfId="1" applyFont="1" applyFill="1" applyBorder="1" applyAlignment="1">
      <alignment horizontal="center" vertical="center" wrapText="1"/>
    </xf>
    <xf numFmtId="0" fontId="0" fillId="0" borderId="11" xfId="0" applyBorder="1" applyAlignment="1">
      <alignment horizontal="center" vertical="center"/>
    </xf>
    <xf numFmtId="0" fontId="7" fillId="0" borderId="1" xfId="0" applyFont="1" applyBorder="1" applyAlignment="1">
      <alignment vertical="center"/>
    </xf>
    <xf numFmtId="0" fontId="7" fillId="0" borderId="1" xfId="0" applyFont="1" applyBorder="1" applyAlignment="1">
      <alignment vertical="center" wrapText="1"/>
    </xf>
    <xf numFmtId="0" fontId="0" fillId="5" borderId="6" xfId="0" applyFill="1" applyBorder="1" applyAlignment="1">
      <alignment horizontal="left" vertical="center" wrapText="1"/>
    </xf>
    <xf numFmtId="0" fontId="0" fillId="6" borderId="6" xfId="0" applyFill="1" applyBorder="1" applyAlignment="1">
      <alignment horizontal="left" vertical="center" wrapText="1"/>
    </xf>
    <xf numFmtId="0" fontId="7" fillId="0" borderId="1" xfId="0" applyFont="1" applyBorder="1" applyAlignment="1">
      <alignment horizontal="left" vertical="center"/>
    </xf>
    <xf numFmtId="0" fontId="0" fillId="0" borderId="1" xfId="0" applyBorder="1" applyAlignment="1">
      <alignment vertical="center"/>
    </xf>
    <xf numFmtId="0" fontId="30" fillId="6" borderId="6" xfId="1" applyFont="1" applyFill="1" applyBorder="1" applyAlignment="1" applyProtection="1">
      <alignment horizontal="justify" vertical="top" wrapText="1"/>
      <protection locked="0"/>
    </xf>
    <xf numFmtId="0" fontId="30" fillId="6" borderId="7" xfId="1" applyFont="1" applyFill="1" applyBorder="1" applyAlignment="1" applyProtection="1">
      <alignment horizontal="justify" vertical="top" wrapText="1"/>
      <protection locked="0"/>
    </xf>
    <xf numFmtId="0" fontId="29" fillId="6" borderId="7" xfId="1" applyFont="1" applyFill="1" applyBorder="1" applyAlignment="1" applyProtection="1">
      <alignment horizontal="justify"/>
      <protection locked="0"/>
    </xf>
    <xf numFmtId="0" fontId="0" fillId="6" borderId="1" xfId="0" applyFill="1" applyBorder="1" applyAlignment="1" applyProtection="1">
      <alignment vertical="center"/>
      <protection locked="0"/>
    </xf>
    <xf numFmtId="0" fontId="0" fillId="10" borderId="6" xfId="0" applyFill="1" applyBorder="1" applyAlignment="1" applyProtection="1">
      <alignment vertical="center" wrapText="1"/>
      <protection locked="0"/>
    </xf>
    <xf numFmtId="4" fontId="34" fillId="6" borderId="1" xfId="1" applyNumberFormat="1" applyFont="1" applyFill="1" applyBorder="1" applyAlignment="1" applyProtection="1">
      <alignment horizontal="right" vertical="center"/>
      <protection locked="0"/>
    </xf>
    <xf numFmtId="9" fontId="29" fillId="0" borderId="1" xfId="6" applyFont="1" applyBorder="1" applyAlignment="1" applyProtection="1">
      <alignment horizontal="left" vertical="center" wrapText="1"/>
      <protection locked="0"/>
    </xf>
    <xf numFmtId="4" fontId="30" fillId="8" borderId="1" xfId="3" applyNumberFormat="1" applyFont="1" applyFill="1" applyBorder="1" applyAlignment="1" applyProtection="1">
      <alignment horizontal="right" vertical="center" wrapText="1"/>
      <protection locked="0"/>
    </xf>
    <xf numFmtId="49" fontId="35" fillId="0" borderId="0" xfId="1" applyNumberFormat="1" applyFont="1" applyAlignment="1">
      <alignment horizontal="right" vertical="center" wrapText="1"/>
    </xf>
    <xf numFmtId="49" fontId="35" fillId="0" borderId="0" xfId="1" applyNumberFormat="1" applyFont="1" applyAlignment="1">
      <alignment vertical="center" wrapText="1"/>
    </xf>
    <xf numFmtId="14" fontId="35" fillId="7" borderId="0" xfId="1" applyNumberFormat="1" applyFont="1" applyFill="1"/>
    <xf numFmtId="0" fontId="35" fillId="0" borderId="0" xfId="1" applyFont="1"/>
    <xf numFmtId="0" fontId="36" fillId="0" borderId="0" xfId="1" applyFont="1"/>
    <xf numFmtId="0" fontId="35" fillId="7" borderId="0" xfId="1" applyFont="1" applyFill="1"/>
    <xf numFmtId="16" fontId="35" fillId="7" borderId="0" xfId="1" applyNumberFormat="1" applyFont="1" applyFill="1"/>
    <xf numFmtId="0" fontId="35" fillId="0" borderId="0" xfId="3" applyFont="1"/>
    <xf numFmtId="0" fontId="35" fillId="0" borderId="0" xfId="3" applyFont="1" applyAlignment="1">
      <alignment horizontal="center"/>
    </xf>
    <xf numFmtId="0" fontId="35" fillId="0" borderId="0" xfId="3" applyFont="1" applyAlignment="1">
      <alignment horizontal="right"/>
    </xf>
    <xf numFmtId="0" fontId="36" fillId="0" borderId="0" xfId="1" applyFont="1" applyAlignment="1">
      <alignment horizontal="justify" vertical="top"/>
    </xf>
    <xf numFmtId="0" fontId="36" fillId="0" borderId="0" xfId="1" applyFont="1" applyAlignment="1">
      <alignment vertical="top"/>
    </xf>
    <xf numFmtId="0" fontId="35" fillId="0" borderId="0" xfId="1" applyFont="1" applyAlignment="1">
      <alignment vertical="top"/>
    </xf>
    <xf numFmtId="0" fontId="37" fillId="0" borderId="0" xfId="1" applyFont="1" applyAlignment="1">
      <alignment horizontal="justify" vertical="top"/>
    </xf>
    <xf numFmtId="0" fontId="36" fillId="0" borderId="0" xfId="1" applyFont="1" applyAlignment="1">
      <alignment horizontal="right" vertical="top"/>
    </xf>
    <xf numFmtId="49" fontId="36" fillId="0" borderId="0" xfId="1" applyNumberFormat="1" applyFont="1" applyAlignment="1">
      <alignment horizontal="justify" vertical="top"/>
    </xf>
    <xf numFmtId="16" fontId="36" fillId="0" borderId="0" xfId="1" applyNumberFormat="1" applyFont="1" applyAlignment="1">
      <alignment horizontal="justify" vertical="top"/>
    </xf>
    <xf numFmtId="0" fontId="35" fillId="0" borderId="0" xfId="1" applyFont="1" applyAlignment="1">
      <alignment horizontal="justify" vertical="top" wrapText="1"/>
    </xf>
    <xf numFmtId="0" fontId="39" fillId="0" borderId="0" xfId="1" applyFont="1"/>
    <xf numFmtId="0" fontId="35" fillId="0" borderId="0" xfId="1" applyFont="1" applyAlignment="1">
      <alignment vertical="center"/>
    </xf>
    <xf numFmtId="0" fontId="35" fillId="0" borderId="0" xfId="1" applyFont="1" applyAlignment="1">
      <alignment horizontal="left" vertical="top" wrapText="1"/>
    </xf>
    <xf numFmtId="0" fontId="35" fillId="0" borderId="0" xfId="1" applyFont="1" applyAlignment="1">
      <alignment vertical="top" wrapText="1"/>
    </xf>
    <xf numFmtId="0" fontId="0" fillId="5" borderId="2" xfId="0" applyFill="1" applyBorder="1" applyAlignment="1" applyProtection="1">
      <alignment horizontal="left" vertical="top" wrapText="1"/>
      <protection locked="0"/>
    </xf>
    <xf numFmtId="0" fontId="7" fillId="4" borderId="2" xfId="0" applyFont="1" applyFill="1" applyBorder="1" applyAlignment="1" applyProtection="1">
      <alignment vertical="center" wrapText="1"/>
      <protection locked="0"/>
    </xf>
    <xf numFmtId="0" fontId="0" fillId="0" borderId="6" xfId="0" applyBorder="1" applyAlignment="1" applyProtection="1">
      <alignment horizontal="left" vertical="center" wrapText="1" indent="1"/>
      <protection locked="0"/>
    </xf>
    <xf numFmtId="9" fontId="0" fillId="5" borderId="2" xfId="6" applyFont="1" applyFill="1" applyBorder="1" applyAlignment="1" applyProtection="1">
      <alignment horizontal="left" vertical="center" wrapText="1"/>
      <protection locked="0"/>
    </xf>
    <xf numFmtId="0" fontId="0" fillId="0" borderId="1" xfId="0" applyBorder="1" applyAlignment="1" applyProtection="1">
      <alignment horizontal="center"/>
      <protection locked="0"/>
    </xf>
    <xf numFmtId="0" fontId="40" fillId="0" borderId="0" xfId="0" applyFont="1"/>
    <xf numFmtId="0" fontId="13" fillId="0" borderId="19" xfId="1" applyFont="1" applyBorder="1" applyAlignment="1">
      <alignment vertical="top" wrapText="1"/>
    </xf>
    <xf numFmtId="14" fontId="35" fillId="7" borderId="0" xfId="1" applyNumberFormat="1" applyFont="1" applyFill="1" applyAlignment="1">
      <alignment horizontal="left" vertical="center" wrapText="1"/>
    </xf>
    <xf numFmtId="0" fontId="35" fillId="7" borderId="0" xfId="1" applyFont="1" applyFill="1" applyAlignment="1">
      <alignment horizontal="left" vertical="center" wrapText="1"/>
    </xf>
    <xf numFmtId="166" fontId="35" fillId="0" borderId="0" xfId="3" applyNumberFormat="1" applyFont="1" applyAlignment="1">
      <alignment horizontal="right"/>
    </xf>
    <xf numFmtId="0" fontId="29" fillId="0" borderId="0" xfId="1" applyFont="1" applyAlignment="1">
      <alignment horizontal="left" vertical="center" wrapText="1"/>
    </xf>
    <xf numFmtId="0" fontId="7" fillId="11" borderId="1" xfId="0" applyFont="1" applyFill="1" applyBorder="1" applyAlignment="1" applyProtection="1">
      <alignment wrapText="1"/>
      <protection locked="0"/>
    </xf>
    <xf numFmtId="0" fontId="7" fillId="11" borderId="1" xfId="0" applyFont="1" applyFill="1" applyBorder="1" applyProtection="1">
      <protection locked="0"/>
    </xf>
    <xf numFmtId="0" fontId="0" fillId="11" borderId="2" xfId="0" applyFill="1" applyBorder="1" applyProtection="1">
      <protection locked="0"/>
    </xf>
    <xf numFmtId="0" fontId="45" fillId="11" borderId="1" xfId="0" applyFont="1" applyFill="1" applyBorder="1" applyAlignment="1" applyProtection="1">
      <alignment vertical="center" wrapText="1"/>
      <protection locked="0"/>
    </xf>
    <xf numFmtId="0" fontId="45" fillId="11" borderId="1" xfId="0" applyFont="1" applyFill="1" applyBorder="1" applyAlignment="1">
      <alignment vertical="center" wrapText="1"/>
    </xf>
    <xf numFmtId="0" fontId="29" fillId="6" borderId="6" xfId="1" applyFont="1" applyFill="1" applyBorder="1" applyAlignment="1" applyProtection="1">
      <alignment horizontal="center" vertical="center" wrapText="1"/>
      <protection locked="0"/>
    </xf>
    <xf numFmtId="164" fontId="30" fillId="6" borderId="6" xfId="5" applyFont="1" applyFill="1" applyBorder="1" applyAlignment="1" applyProtection="1">
      <alignment horizontal="right" vertical="center"/>
      <protection locked="0"/>
    </xf>
    <xf numFmtId="1" fontId="30" fillId="6" borderId="7" xfId="1" applyNumberFormat="1" applyFont="1" applyFill="1" applyBorder="1" applyAlignment="1" applyProtection="1">
      <alignment horizontal="right" vertical="center"/>
      <protection locked="0"/>
    </xf>
    <xf numFmtId="4" fontId="29" fillId="0" borderId="1" xfId="3" applyNumberFormat="1" applyFont="1" applyBorder="1" applyAlignment="1" applyProtection="1">
      <alignment horizontal="right" vertical="center" wrapText="1"/>
      <protection locked="0"/>
    </xf>
    <xf numFmtId="0" fontId="30" fillId="6" borderId="2" xfId="1" applyFont="1" applyFill="1" applyBorder="1" applyAlignment="1" applyProtection="1">
      <alignment vertical="center"/>
      <protection locked="0"/>
    </xf>
    <xf numFmtId="4" fontId="30" fillId="6" borderId="1" xfId="3" applyNumberFormat="1" applyFont="1" applyFill="1" applyBorder="1" applyAlignment="1" applyProtection="1">
      <alignment horizontal="right" vertical="center" wrapText="1"/>
      <protection locked="0"/>
    </xf>
    <xf numFmtId="4" fontId="30" fillId="8" borderId="2" xfId="3" applyNumberFormat="1" applyFont="1" applyFill="1" applyBorder="1" applyAlignment="1" applyProtection="1">
      <alignment horizontal="right" vertical="center" wrapText="1"/>
      <protection locked="0"/>
    </xf>
    <xf numFmtId="4" fontId="29" fillId="8" borderId="6" xfId="3" applyNumberFormat="1" applyFont="1" applyFill="1" applyBorder="1" applyAlignment="1" applyProtection="1">
      <alignment horizontal="center" vertical="center" wrapText="1"/>
      <protection locked="0"/>
    </xf>
    <xf numFmtId="4" fontId="32" fillId="6" borderId="6" xfId="1" applyNumberFormat="1" applyFont="1" applyFill="1" applyBorder="1" applyAlignment="1" applyProtection="1">
      <alignment horizontal="right" vertical="center"/>
      <protection locked="0"/>
    </xf>
    <xf numFmtId="4" fontId="32" fillId="6" borderId="7" xfId="1" applyNumberFormat="1" applyFont="1" applyFill="1" applyBorder="1" applyAlignment="1" applyProtection="1">
      <alignment horizontal="right" vertical="center"/>
      <protection locked="0"/>
    </xf>
    <xf numFmtId="0" fontId="36" fillId="0" borderId="0" xfId="1" applyFont="1" applyAlignment="1">
      <alignment horizontal="left" vertical="top"/>
    </xf>
    <xf numFmtId="0" fontId="29" fillId="8" borderId="0" xfId="1" applyFont="1" applyFill="1" applyAlignment="1" applyProtection="1">
      <alignment horizontal="center" vertical="center"/>
      <protection locked="0"/>
    </xf>
    <xf numFmtId="0" fontId="29" fillId="0" borderId="0" xfId="1" applyFont="1" applyAlignment="1" applyProtection="1">
      <alignment horizontal="justify" vertical="center"/>
      <protection locked="0"/>
    </xf>
    <xf numFmtId="165" fontId="29" fillId="0" borderId="0" xfId="5" applyNumberFormat="1" applyFont="1" applyAlignment="1" applyProtection="1">
      <alignment horizontal="justify" vertical="center"/>
      <protection locked="0"/>
    </xf>
    <xf numFmtId="4" fontId="29" fillId="0" borderId="0" xfId="1" applyNumberFormat="1" applyFont="1" applyAlignment="1" applyProtection="1">
      <alignment horizontal="right" vertical="center"/>
      <protection locked="0"/>
    </xf>
    <xf numFmtId="4" fontId="29" fillId="0" borderId="0" xfId="3" applyNumberFormat="1" applyFont="1" applyAlignment="1" applyProtection="1">
      <alignment horizontal="right" vertical="center"/>
      <protection locked="0"/>
    </xf>
    <xf numFmtId="9" fontId="29" fillId="0" borderId="0" xfId="6" applyFont="1" applyAlignment="1" applyProtection="1">
      <alignment horizontal="justify" vertical="center"/>
      <protection locked="0"/>
    </xf>
    <xf numFmtId="0" fontId="30" fillId="0" borderId="1" xfId="1" applyFont="1" applyBorder="1" applyAlignment="1" applyProtection="1">
      <alignment horizontal="center" vertical="center" wrapText="1"/>
      <protection locked="0"/>
    </xf>
    <xf numFmtId="0" fontId="36" fillId="0" borderId="17" xfId="1" applyFont="1" applyBorder="1"/>
    <xf numFmtId="0" fontId="41" fillId="0" borderId="9" xfId="1" applyFont="1" applyBorder="1" applyAlignment="1">
      <alignment vertical="center" wrapText="1"/>
    </xf>
    <xf numFmtId="0" fontId="42" fillId="0" borderId="9" xfId="1" applyFont="1" applyBorder="1" applyAlignment="1">
      <alignment vertical="center" wrapText="1"/>
    </xf>
    <xf numFmtId="0" fontId="29" fillId="0" borderId="9" xfId="1" applyFont="1" applyBorder="1"/>
    <xf numFmtId="0" fontId="13" fillId="0" borderId="19" xfId="1" applyFont="1" applyBorder="1" applyAlignment="1">
      <alignment horizontal="left" vertical="top" wrapText="1"/>
    </xf>
    <xf numFmtId="0" fontId="13" fillId="0" borderId="7" xfId="1" applyFont="1" applyBorder="1" applyAlignment="1">
      <alignment vertical="top" wrapText="1"/>
    </xf>
    <xf numFmtId="0" fontId="46" fillId="2" borderId="1" xfId="0" applyFont="1" applyFill="1" applyBorder="1" applyAlignment="1">
      <alignment horizontal="center" vertical="center"/>
    </xf>
    <xf numFmtId="0" fontId="13" fillId="0" borderId="23" xfId="1" applyFont="1" applyBorder="1" applyAlignment="1">
      <alignment vertical="top" wrapText="1"/>
    </xf>
    <xf numFmtId="0" fontId="12" fillId="0" borderId="0" xfId="0" applyFont="1" applyAlignment="1">
      <alignment horizontal="center" vertical="center"/>
    </xf>
    <xf numFmtId="0" fontId="13" fillId="0" borderId="0" xfId="1" applyFont="1" applyAlignment="1">
      <alignment vertical="top" wrapText="1"/>
    </xf>
    <xf numFmtId="0" fontId="15" fillId="0" borderId="0" xfId="1" applyFont="1" applyAlignment="1">
      <alignment vertical="top" wrapText="1"/>
    </xf>
    <xf numFmtId="49" fontId="15" fillId="0" borderId="0" xfId="0" applyNumberFormat="1" applyFont="1"/>
    <xf numFmtId="0" fontId="25" fillId="0" borderId="0" xfId="0" applyFont="1" applyAlignment="1">
      <alignment vertical="top" wrapText="1"/>
    </xf>
    <xf numFmtId="0" fontId="15" fillId="0" borderId="0" xfId="1" applyFont="1" applyAlignment="1" applyProtection="1">
      <alignment vertical="top" wrapText="1"/>
      <protection locked="0"/>
    </xf>
    <xf numFmtId="0" fontId="15" fillId="0" borderId="0" xfId="1" applyFont="1" applyAlignment="1" applyProtection="1">
      <alignment vertical="top"/>
      <protection locked="0"/>
    </xf>
    <xf numFmtId="0" fontId="15" fillId="0" borderId="2" xfId="1" applyFont="1" applyBorder="1" applyAlignment="1">
      <alignment vertical="top" wrapText="1"/>
    </xf>
    <xf numFmtId="0" fontId="28" fillId="0" borderId="2" xfId="1" applyFont="1" applyBorder="1" applyAlignment="1">
      <alignment vertical="top" wrapText="1"/>
    </xf>
    <xf numFmtId="0" fontId="12" fillId="9" borderId="24" xfId="0" applyFont="1" applyFill="1" applyBorder="1" applyAlignment="1">
      <alignment horizontal="center" vertical="center"/>
    </xf>
    <xf numFmtId="0" fontId="46" fillId="2" borderId="19" xfId="0" applyFont="1" applyFill="1" applyBorder="1" applyAlignment="1">
      <alignment horizontal="center" vertical="center"/>
    </xf>
    <xf numFmtId="0" fontId="46" fillId="2" borderId="25" xfId="0" applyFont="1" applyFill="1" applyBorder="1" applyAlignment="1">
      <alignment horizontal="center" vertical="center"/>
    </xf>
    <xf numFmtId="0" fontId="47" fillId="0" borderId="19" xfId="0" applyFont="1" applyBorder="1" applyAlignment="1">
      <alignment horizontal="left" vertical="top" wrapText="1"/>
    </xf>
    <xf numFmtId="0" fontId="2" fillId="0" borderId="19" xfId="0" applyFont="1" applyBorder="1" applyAlignment="1">
      <alignment horizontal="left" vertical="top" wrapText="1"/>
    </xf>
    <xf numFmtId="0" fontId="15" fillId="0" borderId="19" xfId="0" applyFont="1" applyBorder="1" applyAlignment="1">
      <alignment horizontal="left" vertical="top" wrapText="1"/>
    </xf>
    <xf numFmtId="0" fontId="48" fillId="0" borderId="19" xfId="0" applyFont="1" applyBorder="1" applyAlignment="1">
      <alignment horizontal="left" vertical="top" wrapText="1"/>
    </xf>
    <xf numFmtId="0" fontId="49" fillId="0" borderId="0" xfId="1" applyFont="1" applyAlignment="1" applyProtection="1">
      <alignment vertical="center"/>
      <protection locked="0"/>
    </xf>
    <xf numFmtId="0" fontId="30" fillId="6" borderId="6" xfId="1" applyFont="1" applyFill="1" applyBorder="1" applyAlignment="1" applyProtection="1">
      <alignment vertical="top" wrapText="1"/>
      <protection locked="0"/>
    </xf>
    <xf numFmtId="0" fontId="0" fillId="6" borderId="7" xfId="0" applyFill="1" applyBorder="1" applyAlignment="1">
      <alignment vertical="top" wrapText="1"/>
    </xf>
    <xf numFmtId="0" fontId="0" fillId="6" borderId="7" xfId="0" applyFill="1" applyBorder="1"/>
    <xf numFmtId="49" fontId="29" fillId="0" borderId="1" xfId="1" applyNumberFormat="1" applyFont="1" applyBorder="1" applyAlignment="1" applyProtection="1">
      <alignment horizontal="center" vertical="center" wrapText="1"/>
      <protection locked="0"/>
    </xf>
    <xf numFmtId="9" fontId="29" fillId="0" borderId="1" xfId="6" applyFont="1" applyBorder="1" applyAlignment="1" applyProtection="1">
      <alignment horizontal="center" vertical="center" wrapText="1"/>
      <protection locked="0"/>
    </xf>
    <xf numFmtId="9" fontId="29" fillId="0" borderId="1" xfId="1" applyNumberFormat="1" applyFont="1" applyBorder="1" applyAlignment="1" applyProtection="1">
      <alignment horizontal="center" vertical="center" wrapText="1"/>
      <protection locked="0"/>
    </xf>
    <xf numFmtId="14" fontId="29" fillId="0" borderId="1" xfId="1" applyNumberFormat="1" applyFont="1" applyBorder="1" applyAlignment="1" applyProtection="1">
      <alignment horizontal="center" vertical="center" wrapText="1"/>
      <protection locked="0"/>
    </xf>
    <xf numFmtId="0" fontId="30" fillId="6" borderId="6" xfId="1" applyFont="1" applyFill="1" applyBorder="1" applyAlignment="1" applyProtection="1">
      <alignment horizontal="center" vertical="center" wrapText="1"/>
      <protection locked="0"/>
    </xf>
    <xf numFmtId="0" fontId="30" fillId="6" borderId="2" xfId="1" applyFont="1" applyFill="1" applyBorder="1" applyAlignment="1" applyProtection="1">
      <alignment horizontal="center" vertical="center" wrapText="1"/>
      <protection locked="0"/>
    </xf>
    <xf numFmtId="165" fontId="29" fillId="0" borderId="1" xfId="5" applyNumberFormat="1" applyFont="1" applyBorder="1" applyAlignment="1" applyProtection="1">
      <alignment horizontal="center" vertical="center" wrapText="1"/>
      <protection locked="0"/>
    </xf>
    <xf numFmtId="4" fontId="29" fillId="0" borderId="1" xfId="1" applyNumberFormat="1" applyFont="1" applyBorder="1" applyAlignment="1" applyProtection="1">
      <alignment horizontal="center" vertical="center"/>
      <protection locked="0"/>
    </xf>
    <xf numFmtId="0" fontId="29" fillId="6" borderId="7" xfId="1" applyFont="1" applyFill="1" applyBorder="1" applyAlignment="1" applyProtection="1">
      <alignment horizontal="center" vertical="center" wrapText="1"/>
      <protection locked="0"/>
    </xf>
    <xf numFmtId="9" fontId="29" fillId="6" borderId="1" xfId="1" applyNumberFormat="1" applyFont="1" applyFill="1" applyBorder="1" applyAlignment="1" applyProtection="1">
      <alignment horizontal="center" vertical="center" wrapText="1"/>
      <protection locked="0"/>
    </xf>
    <xf numFmtId="14" fontId="30" fillId="6" borderId="6" xfId="1" applyNumberFormat="1" applyFont="1" applyFill="1" applyBorder="1" applyAlignment="1" applyProtection="1">
      <alignment horizontal="center" vertical="center" wrapText="1"/>
      <protection locked="0"/>
    </xf>
    <xf numFmtId="49" fontId="30" fillId="6" borderId="7" xfId="1" applyNumberFormat="1" applyFont="1" applyFill="1" applyBorder="1" applyAlignment="1" applyProtection="1">
      <alignment horizontal="center" vertical="center" wrapText="1"/>
      <protection locked="0"/>
    </xf>
    <xf numFmtId="0" fontId="29" fillId="0" borderId="1" xfId="1" applyFont="1" applyBorder="1" applyAlignment="1" applyProtection="1">
      <alignment horizontal="center" vertical="center"/>
      <protection locked="0"/>
    </xf>
    <xf numFmtId="49" fontId="29" fillId="0" borderId="1" xfId="3" applyNumberFormat="1" applyFont="1" applyBorder="1" applyAlignment="1" applyProtection="1">
      <alignment horizontal="center" vertical="center" wrapText="1"/>
      <protection locked="0"/>
    </xf>
    <xf numFmtId="4" fontId="30" fillId="6" borderId="7" xfId="1" applyNumberFormat="1" applyFont="1" applyFill="1" applyBorder="1" applyAlignment="1" applyProtection="1">
      <alignment horizontal="right" vertical="center"/>
      <protection locked="0"/>
    </xf>
    <xf numFmtId="9" fontId="30" fillId="6" borderId="1" xfId="6" applyFont="1" applyFill="1" applyBorder="1" applyAlignment="1" applyProtection="1">
      <alignment horizontal="center" vertical="center" wrapText="1"/>
      <protection locked="0"/>
    </xf>
    <xf numFmtId="49" fontId="30" fillId="6" borderId="1" xfId="3" applyNumberFormat="1" applyFont="1" applyFill="1" applyBorder="1" applyAlignment="1" applyProtection="1">
      <alignment horizontal="center" vertical="center" wrapText="1"/>
      <protection locked="0"/>
    </xf>
    <xf numFmtId="0" fontId="30" fillId="6" borderId="6" xfId="1" applyFont="1" applyFill="1" applyBorder="1" applyAlignment="1" applyProtection="1">
      <alignment horizontal="center" vertical="center"/>
      <protection locked="0"/>
    </xf>
    <xf numFmtId="0" fontId="30" fillId="6" borderId="1" xfId="1" applyFont="1" applyFill="1" applyBorder="1" applyAlignment="1" applyProtection="1">
      <alignment horizontal="center" vertical="center"/>
      <protection locked="0"/>
    </xf>
    <xf numFmtId="0" fontId="50" fillId="0" borderId="0" xfId="1" applyFont="1" applyAlignment="1">
      <alignment horizontal="justify" vertical="top"/>
    </xf>
    <xf numFmtId="0" fontId="8" fillId="0" borderId="1" xfId="0" applyFont="1" applyBorder="1" applyAlignment="1" applyProtection="1">
      <alignment wrapText="1"/>
      <protection locked="0"/>
    </xf>
    <xf numFmtId="0" fontId="7" fillId="4" borderId="1" xfId="0" applyFont="1" applyFill="1" applyBorder="1" applyAlignment="1">
      <alignment horizontal="left"/>
    </xf>
    <xf numFmtId="16" fontId="7" fillId="4" borderId="2" xfId="0" quotePrefix="1" applyNumberFormat="1" applyFont="1" applyFill="1" applyBorder="1" applyAlignment="1">
      <alignment horizontal="left" wrapText="1"/>
    </xf>
    <xf numFmtId="0" fontId="0" fillId="5" borderId="6" xfId="0" applyFill="1" applyBorder="1" applyAlignment="1">
      <alignment horizontal="left" vertical="top"/>
    </xf>
    <xf numFmtId="0" fontId="8" fillId="0" borderId="1" xfId="0" applyFont="1" applyBorder="1" applyAlignment="1">
      <alignment vertical="center" wrapText="1"/>
    </xf>
    <xf numFmtId="0" fontId="25" fillId="0" borderId="7" xfId="0" applyFont="1" applyBorder="1" applyAlignment="1">
      <alignment vertical="top" wrapText="1"/>
    </xf>
    <xf numFmtId="0" fontId="25" fillId="0" borderId="18" xfId="0" applyFont="1" applyBorder="1" applyAlignment="1">
      <alignment vertical="top" wrapText="1"/>
    </xf>
    <xf numFmtId="0" fontId="12" fillId="9" borderId="11" xfId="0" applyFont="1" applyFill="1" applyBorder="1" applyAlignment="1">
      <alignment horizontal="center" vertical="center" wrapText="1"/>
    </xf>
    <xf numFmtId="0" fontId="12" fillId="9" borderId="11" xfId="0" applyFont="1" applyFill="1" applyBorder="1" applyAlignment="1">
      <alignment horizontal="center" vertical="center"/>
    </xf>
    <xf numFmtId="0" fontId="13" fillId="0" borderId="0" xfId="0" applyFont="1" applyAlignment="1">
      <alignment vertical="top" wrapText="1"/>
    </xf>
    <xf numFmtId="0" fontId="51" fillId="0" borderId="0" xfId="1" applyFont="1" applyAlignment="1">
      <alignment horizontal="left" vertical="top" wrapText="1"/>
    </xf>
    <xf numFmtId="0" fontId="3" fillId="0" borderId="0" xfId="0" applyFont="1" applyAlignment="1">
      <alignment horizontal="left" vertical="top"/>
    </xf>
    <xf numFmtId="0" fontId="51" fillId="0" borderId="0" xfId="1" applyFont="1" applyAlignment="1">
      <alignment vertical="top" wrapText="1"/>
    </xf>
    <xf numFmtId="0" fontId="52" fillId="12" borderId="0" xfId="1" applyFont="1" applyFill="1" applyAlignment="1">
      <alignment vertical="top"/>
    </xf>
    <xf numFmtId="0" fontId="3" fillId="0" borderId="0" xfId="0" applyFont="1" applyAlignment="1">
      <alignment wrapText="1"/>
    </xf>
    <xf numFmtId="0" fontId="3" fillId="0" borderId="0" xfId="0" applyFont="1"/>
    <xf numFmtId="0" fontId="53" fillId="12" borderId="0" xfId="1" applyFont="1" applyFill="1" applyAlignment="1">
      <alignment horizontal="justify" vertical="top" wrapText="1"/>
    </xf>
    <xf numFmtId="0" fontId="54" fillId="12" borderId="0" xfId="0" applyFont="1" applyFill="1" applyAlignment="1">
      <alignment vertical="center"/>
    </xf>
    <xf numFmtId="0" fontId="2" fillId="0" borderId="0" xfId="0" applyFont="1"/>
    <xf numFmtId="0" fontId="52" fillId="12" borderId="0" xfId="1" applyFont="1" applyFill="1" applyAlignment="1">
      <alignment vertical="top" wrapText="1"/>
    </xf>
    <xf numFmtId="0" fontId="52" fillId="0" borderId="0" xfId="1" applyFont="1" applyAlignment="1">
      <alignment horizontal="left" vertical="top" wrapText="1"/>
    </xf>
    <xf numFmtId="0" fontId="53" fillId="0" borderId="0" xfId="0" applyFont="1"/>
    <xf numFmtId="0" fontId="52" fillId="0" borderId="0" xfId="1" applyFont="1" applyAlignment="1">
      <alignment vertical="top" wrapText="1"/>
    </xf>
    <xf numFmtId="0" fontId="53" fillId="0" borderId="0" xfId="1" applyFont="1" applyAlignment="1">
      <alignment vertical="top" wrapText="1"/>
    </xf>
    <xf numFmtId="0" fontId="53" fillId="0" borderId="0" xfId="1" applyFont="1" applyAlignment="1">
      <alignment horizontal="justify" vertical="top" wrapText="1"/>
    </xf>
    <xf numFmtId="0" fontId="54" fillId="0" borderId="0" xfId="0" applyFont="1" applyAlignment="1">
      <alignment horizontal="left" vertical="top" wrapText="1"/>
    </xf>
    <xf numFmtId="0" fontId="53" fillId="0" borderId="0" xfId="1" applyFont="1" applyAlignment="1">
      <alignment horizontal="left" vertical="top" wrapText="1"/>
    </xf>
    <xf numFmtId="0" fontId="55" fillId="0" borderId="0" xfId="0" applyFont="1"/>
    <xf numFmtId="0" fontId="0" fillId="0" borderId="0" xfId="0" applyAlignment="1">
      <alignment horizontal="left"/>
    </xf>
    <xf numFmtId="0" fontId="12" fillId="9" borderId="26" xfId="0" applyFont="1" applyFill="1" applyBorder="1" applyAlignment="1">
      <alignment horizontal="center" vertical="center" wrapText="1"/>
    </xf>
    <xf numFmtId="0" fontId="12" fillId="9" borderId="0" xfId="0" applyFont="1" applyFill="1" applyAlignment="1">
      <alignment horizontal="center" vertical="center"/>
    </xf>
    <xf numFmtId="0" fontId="12" fillId="9" borderId="0" xfId="0" applyFont="1" applyFill="1" applyAlignment="1">
      <alignment horizontal="center" vertical="center" wrapText="1"/>
    </xf>
    <xf numFmtId="0" fontId="7" fillId="0" borderId="0" xfId="0" applyFont="1" applyAlignment="1">
      <alignment vertical="center"/>
    </xf>
    <xf numFmtId="0" fontId="7" fillId="0" borderId="0" xfId="0" applyFont="1" applyAlignment="1">
      <alignment vertical="center" wrapText="1"/>
    </xf>
    <xf numFmtId="0" fontId="0" fillId="0" borderId="0" xfId="0" applyAlignment="1">
      <alignment vertical="center" wrapText="1"/>
    </xf>
    <xf numFmtId="0" fontId="8" fillId="0" borderId="0" xfId="0" applyFont="1" applyAlignment="1">
      <alignment vertical="center" wrapText="1"/>
    </xf>
    <xf numFmtId="14" fontId="0" fillId="0" borderId="0" xfId="0" applyNumberFormat="1" applyAlignment="1">
      <alignment horizontal="left" vertical="center" wrapText="1"/>
    </xf>
    <xf numFmtId="0" fontId="7" fillId="0" borderId="11" xfId="0" applyFont="1" applyBorder="1" applyAlignment="1">
      <alignment vertical="center"/>
    </xf>
    <xf numFmtId="0" fontId="7" fillId="0" borderId="11" xfId="0" applyFont="1" applyBorder="1" applyAlignment="1">
      <alignment vertical="center" wrapText="1"/>
    </xf>
    <xf numFmtId="0" fontId="0" fillId="5" borderId="18" xfId="0" applyFill="1" applyBorder="1" applyAlignment="1">
      <alignment horizontal="left" vertical="center" wrapText="1"/>
    </xf>
    <xf numFmtId="0" fontId="56" fillId="0" borderId="0" xfId="0" applyFont="1" applyAlignment="1" applyProtection="1">
      <alignment vertical="center" wrapText="1"/>
      <protection locked="0"/>
    </xf>
    <xf numFmtId="0" fontId="46" fillId="2" borderId="0" xfId="0" applyFont="1" applyFill="1" applyAlignment="1">
      <alignment horizontal="center" vertical="center"/>
    </xf>
    <xf numFmtId="0" fontId="0" fillId="0" borderId="28" xfId="0" applyBorder="1" applyAlignment="1" applyProtection="1">
      <alignment horizontal="center" vertical="center"/>
      <protection locked="0"/>
    </xf>
    <xf numFmtId="0" fontId="0" fillId="0" borderId="28" xfId="0" applyBorder="1" applyAlignment="1">
      <alignment horizontal="center" vertical="center"/>
    </xf>
    <xf numFmtId="0" fontId="6" fillId="0" borderId="18" xfId="0" applyFont="1" applyBorder="1" applyAlignment="1" applyProtection="1">
      <alignment vertical="center" wrapText="1"/>
      <protection locked="0"/>
    </xf>
    <xf numFmtId="0" fontId="7" fillId="0" borderId="13" xfId="0" applyFont="1" applyBorder="1" applyAlignment="1">
      <alignment vertical="center"/>
    </xf>
    <xf numFmtId="0" fontId="8" fillId="0" borderId="13" xfId="0" applyFont="1" applyBorder="1" applyAlignment="1">
      <alignment vertical="center" wrapText="1"/>
    </xf>
    <xf numFmtId="14" fontId="0" fillId="0" borderId="13" xfId="0" applyNumberFormat="1" applyBorder="1" applyAlignment="1">
      <alignment horizontal="left" vertical="center" wrapText="1"/>
    </xf>
    <xf numFmtId="0" fontId="46" fillId="2" borderId="18" xfId="0" applyFont="1" applyFill="1" applyBorder="1" applyAlignment="1">
      <alignment horizontal="center" vertical="center" wrapText="1"/>
    </xf>
    <xf numFmtId="0" fontId="46" fillId="2" borderId="0" xfId="0" applyFont="1" applyFill="1" applyAlignment="1">
      <alignment horizontal="center" vertical="center" wrapText="1"/>
    </xf>
    <xf numFmtId="0" fontId="52" fillId="12" borderId="0" xfId="1" applyFont="1" applyFill="1" applyAlignment="1">
      <alignment horizontal="left" vertical="top" wrapText="1"/>
    </xf>
    <xf numFmtId="49" fontId="57" fillId="0" borderId="0" xfId="1" applyNumberFormat="1" applyFont="1" applyAlignment="1">
      <alignment horizontal="right" vertical="center" wrapText="1"/>
    </xf>
    <xf numFmtId="0" fontId="35" fillId="0" borderId="0" xfId="1" applyFont="1" applyAlignment="1">
      <alignment horizontal="left" vertical="center" wrapText="1"/>
    </xf>
    <xf numFmtId="0" fontId="35" fillId="0" borderId="8" xfId="1" applyFont="1" applyBorder="1" applyAlignment="1">
      <alignment horizontal="left" vertical="center" wrapText="1"/>
    </xf>
    <xf numFmtId="0" fontId="35" fillId="0" borderId="9" xfId="1" applyFont="1" applyBorder="1" applyAlignment="1">
      <alignment horizontal="left" vertical="center" wrapText="1"/>
    </xf>
    <xf numFmtId="0" fontId="0" fillId="0" borderId="2" xfId="0" applyBorder="1" applyAlignment="1">
      <alignment wrapText="1"/>
    </xf>
    <xf numFmtId="0" fontId="35" fillId="0" borderId="0" xfId="1" applyFont="1" applyAlignment="1" applyProtection="1">
      <alignment horizontal="left" vertical="top"/>
      <protection hidden="1"/>
    </xf>
    <xf numFmtId="0" fontId="35" fillId="0" borderId="0" xfId="1" applyFont="1" applyAlignment="1" applyProtection="1">
      <alignment horizontal="justify" vertical="top" wrapText="1"/>
      <protection hidden="1"/>
    </xf>
    <xf numFmtId="49" fontId="7" fillId="4" borderId="1" xfId="0" applyNumberFormat="1" applyFont="1" applyFill="1" applyBorder="1" applyAlignment="1" applyProtection="1">
      <alignment vertical="center" wrapText="1"/>
      <protection locked="0"/>
    </xf>
    <xf numFmtId="9" fontId="14" fillId="0" borderId="0" xfId="0" applyNumberFormat="1" applyFont="1"/>
    <xf numFmtId="9" fontId="0" fillId="5" borderId="2" xfId="6" applyFont="1" applyFill="1" applyBorder="1" applyAlignment="1" applyProtection="1">
      <alignment horizontal="left" vertical="center"/>
      <protection locked="0"/>
    </xf>
    <xf numFmtId="0" fontId="36" fillId="0" borderId="1" xfId="0" applyFont="1" applyBorder="1" applyAlignment="1">
      <alignment horizontal="center" vertical="center" wrapText="1"/>
    </xf>
    <xf numFmtId="0" fontId="35" fillId="0" borderId="1" xfId="0" applyFont="1" applyBorder="1" applyAlignment="1">
      <alignment vertical="center" wrapText="1"/>
    </xf>
    <xf numFmtId="0" fontId="35" fillId="0" borderId="1" xfId="0" applyFont="1" applyBorder="1" applyAlignment="1">
      <alignment vertical="center"/>
    </xf>
    <xf numFmtId="0" fontId="35" fillId="0" borderId="0" xfId="0" applyFont="1" applyAlignment="1">
      <alignment horizontal="left" vertical="center" wrapText="1"/>
    </xf>
    <xf numFmtId="0" fontId="35" fillId="0" borderId="0" xfId="0" applyFont="1" applyAlignment="1">
      <alignment horizontal="left" vertical="center"/>
    </xf>
    <xf numFmtId="0" fontId="35" fillId="0" borderId="0" xfId="1" applyFont="1" applyAlignment="1">
      <alignment horizontal="left" vertical="top" wrapText="1"/>
    </xf>
    <xf numFmtId="0" fontId="36" fillId="0" borderId="2" xfId="0" applyFont="1" applyBorder="1" applyAlignment="1">
      <alignment horizontal="center" vertical="center" wrapText="1"/>
    </xf>
    <xf numFmtId="0" fontId="36" fillId="0" borderId="6" xfId="0" applyFont="1" applyBorder="1" applyAlignment="1">
      <alignment horizontal="center" vertical="center" wrapText="1"/>
    </xf>
    <xf numFmtId="0" fontId="36" fillId="0" borderId="7" xfId="0" applyFont="1" applyBorder="1" applyAlignment="1">
      <alignment horizontal="center" vertical="center" wrapText="1"/>
    </xf>
    <xf numFmtId="0" fontId="35" fillId="0" borderId="2" xfId="0" applyFont="1" applyBorder="1" applyAlignment="1">
      <alignment horizontal="left" vertical="center" wrapText="1"/>
    </xf>
    <xf numFmtId="0" fontId="35" fillId="0" borderId="6" xfId="0" applyFont="1" applyBorder="1" applyAlignment="1">
      <alignment horizontal="left" vertical="center" wrapText="1"/>
    </xf>
    <xf numFmtId="0" fontId="35" fillId="0" borderId="7" xfId="0" applyFont="1" applyBorder="1" applyAlignment="1">
      <alignment horizontal="left" vertical="center" wrapText="1"/>
    </xf>
    <xf numFmtId="0" fontId="36" fillId="0" borderId="0" xfId="1" applyFont="1" applyAlignment="1">
      <alignment horizontal="center"/>
    </xf>
    <xf numFmtId="0" fontId="35" fillId="0" borderId="0" xfId="1" applyFont="1" applyAlignment="1">
      <alignment horizontal="left" vertical="top" wrapText="1" indent="2"/>
    </xf>
    <xf numFmtId="0" fontId="35" fillId="0" borderId="0" xfId="1" applyFont="1" applyAlignment="1">
      <alignment horizontal="justify" vertical="top" wrapText="1"/>
    </xf>
    <xf numFmtId="0" fontId="29" fillId="0" borderId="18" xfId="1" applyFont="1" applyBorder="1" applyAlignment="1">
      <alignment horizontal="left" vertical="center" wrapText="1"/>
    </xf>
    <xf numFmtId="0" fontId="36" fillId="0" borderId="0" xfId="1" applyFont="1" applyAlignment="1">
      <alignment horizontal="left" vertical="top" wrapText="1"/>
    </xf>
    <xf numFmtId="0" fontId="36" fillId="0" borderId="0" xfId="1" applyFont="1" applyAlignment="1">
      <alignment horizontal="justify" vertical="top" wrapText="1"/>
    </xf>
    <xf numFmtId="0" fontId="36" fillId="0" borderId="13" xfId="1" applyFont="1" applyBorder="1" applyAlignment="1">
      <alignment horizontal="justify" vertical="top" wrapText="1"/>
    </xf>
    <xf numFmtId="0" fontId="35" fillId="0" borderId="0" xfId="1" applyFont="1" applyAlignment="1" applyProtection="1">
      <alignment horizontal="left" vertical="top" wrapText="1"/>
      <protection hidden="1"/>
    </xf>
    <xf numFmtId="0" fontId="0" fillId="0" borderId="0" xfId="0" applyAlignment="1">
      <alignment horizontal="left" vertical="top"/>
    </xf>
    <xf numFmtId="14" fontId="35" fillId="7" borderId="0" xfId="1" applyNumberFormat="1" applyFont="1" applyFill="1" applyAlignment="1">
      <alignment horizontal="left" vertical="center" wrapText="1"/>
    </xf>
    <xf numFmtId="0" fontId="35" fillId="7" borderId="0" xfId="1" applyFont="1" applyFill="1" applyAlignment="1">
      <alignment horizontal="left" vertical="center" wrapText="1"/>
    </xf>
    <xf numFmtId="0" fontId="29" fillId="0" borderId="0" xfId="1" applyFont="1" applyAlignment="1">
      <alignment horizontal="justify" vertical="top" wrapText="1"/>
    </xf>
    <xf numFmtId="0" fontId="38" fillId="0" borderId="0" xfId="1" applyFont="1" applyAlignment="1">
      <alignment horizontal="left" vertical="top" wrapText="1"/>
    </xf>
    <xf numFmtId="0" fontId="36" fillId="0" borderId="0" xfId="1" applyFont="1" applyAlignment="1" applyProtection="1">
      <alignment horizontal="left" vertical="top" wrapText="1"/>
      <protection hidden="1"/>
    </xf>
    <xf numFmtId="0" fontId="36" fillId="0" borderId="0" xfId="1" applyFont="1" applyAlignment="1" applyProtection="1">
      <alignment horizontal="left" vertical="top"/>
      <protection hidden="1"/>
    </xf>
    <xf numFmtId="0" fontId="35" fillId="0" borderId="0" xfId="1" applyFont="1" applyAlignment="1">
      <alignment horizontal="left" vertical="center" wrapText="1"/>
    </xf>
    <xf numFmtId="166" fontId="35" fillId="0" borderId="0" xfId="3" applyNumberFormat="1" applyFont="1" applyAlignment="1">
      <alignment horizontal="right"/>
    </xf>
    <xf numFmtId="0" fontId="35" fillId="0" borderId="0" xfId="1" applyFont="1" applyAlignment="1">
      <alignment horizontal="justify" vertical="center" wrapText="1"/>
    </xf>
    <xf numFmtId="0" fontId="35" fillId="0" borderId="0" xfId="1" applyFont="1" applyAlignment="1">
      <alignment horizontal="center" vertical="center" wrapText="1"/>
    </xf>
    <xf numFmtId="0" fontId="36" fillId="0" borderId="19" xfId="1" applyFont="1" applyBorder="1" applyAlignment="1">
      <alignment horizontal="center" vertical="center"/>
    </xf>
    <xf numFmtId="0" fontId="35" fillId="0" borderId="0" xfId="1" applyFont="1" applyAlignment="1">
      <alignment horizontal="left" vertical="top"/>
    </xf>
    <xf numFmtId="0" fontId="35" fillId="0" borderId="0" xfId="1" applyFont="1" applyAlignment="1" applyProtection="1">
      <alignment horizontal="left" vertical="top"/>
      <protection hidden="1"/>
    </xf>
    <xf numFmtId="0" fontId="35" fillId="0" borderId="0" xfId="1" applyFont="1" applyAlignment="1">
      <alignment horizontal="justify" vertical="top"/>
    </xf>
    <xf numFmtId="0" fontId="36" fillId="0" borderId="15" xfId="1" applyFont="1" applyBorder="1" applyAlignment="1">
      <alignment horizontal="center"/>
    </xf>
    <xf numFmtId="0" fontId="36" fillId="0" borderId="16" xfId="1" applyFont="1" applyBorder="1" applyAlignment="1">
      <alignment horizontal="center"/>
    </xf>
    <xf numFmtId="0" fontId="36" fillId="0" borderId="17" xfId="1" applyFont="1" applyBorder="1" applyAlignment="1">
      <alignment horizontal="center"/>
    </xf>
    <xf numFmtId="0" fontId="35" fillId="0" borderId="8" xfId="1" applyFont="1" applyBorder="1" applyAlignment="1">
      <alignment horizontal="left" vertical="center" wrapText="1"/>
    </xf>
    <xf numFmtId="0" fontId="35" fillId="0" borderId="9" xfId="1" applyFont="1" applyBorder="1" applyAlignment="1">
      <alignment horizontal="left" vertical="center" wrapText="1"/>
    </xf>
    <xf numFmtId="0" fontId="36" fillId="0" borderId="8" xfId="1" applyFont="1" applyBorder="1" applyAlignment="1">
      <alignment horizontal="left" vertical="center" wrapText="1"/>
    </xf>
    <xf numFmtId="0" fontId="36" fillId="0" borderId="0" xfId="1" applyFont="1" applyAlignment="1">
      <alignment horizontal="left" vertical="center" wrapText="1"/>
    </xf>
    <xf numFmtId="0" fontId="36" fillId="0" borderId="9" xfId="1" applyFont="1" applyBorder="1" applyAlignment="1">
      <alignment horizontal="left" vertical="center" wrapText="1"/>
    </xf>
    <xf numFmtId="0" fontId="35" fillId="0" borderId="8" xfId="1" applyFont="1" applyBorder="1" applyAlignment="1">
      <alignment horizontal="left" wrapText="1"/>
    </xf>
    <xf numFmtId="0" fontId="35" fillId="0" borderId="0" xfId="1" applyFont="1" applyAlignment="1">
      <alignment horizontal="left" wrapText="1"/>
    </xf>
    <xf numFmtId="0" fontId="35" fillId="0" borderId="9" xfId="1" applyFont="1" applyBorder="1" applyAlignment="1">
      <alignment horizontal="left" wrapText="1"/>
    </xf>
    <xf numFmtId="0" fontId="39" fillId="0" borderId="8" xfId="1" applyFont="1" applyBorder="1" applyAlignment="1">
      <alignment horizontal="left" wrapText="1"/>
    </xf>
    <xf numFmtId="0" fontId="39" fillId="0" borderId="0" xfId="1" applyFont="1" applyAlignment="1">
      <alignment horizontal="left" wrapText="1"/>
    </xf>
    <xf numFmtId="0" fontId="39" fillId="0" borderId="9" xfId="1" applyFont="1" applyBorder="1" applyAlignment="1">
      <alignment horizontal="left" wrapText="1"/>
    </xf>
    <xf numFmtId="0" fontId="39" fillId="0" borderId="3" xfId="1" applyFont="1" applyBorder="1" applyAlignment="1">
      <alignment horizontal="left" vertical="center" wrapText="1"/>
    </xf>
    <xf numFmtId="0" fontId="39" fillId="0" borderId="4" xfId="1" applyFont="1" applyBorder="1" applyAlignment="1">
      <alignment horizontal="left" vertical="center" wrapText="1"/>
    </xf>
    <xf numFmtId="0" fontId="39" fillId="0" borderId="5" xfId="1" applyFont="1" applyBorder="1" applyAlignment="1">
      <alignment horizontal="left" vertical="center" wrapText="1"/>
    </xf>
    <xf numFmtId="0" fontId="39" fillId="0" borderId="8" xfId="1" applyFont="1" applyBorder="1" applyAlignment="1">
      <alignment horizontal="left" vertical="center" wrapText="1"/>
    </xf>
    <xf numFmtId="0" fontId="39" fillId="0" borderId="0" xfId="1" applyFont="1" applyAlignment="1">
      <alignment horizontal="left" vertical="center" wrapText="1"/>
    </xf>
    <xf numFmtId="0" fontId="39" fillId="0" borderId="9" xfId="1" applyFont="1" applyBorder="1" applyAlignment="1">
      <alignment horizontal="left" vertical="center" wrapText="1"/>
    </xf>
    <xf numFmtId="0" fontId="6" fillId="3" borderId="1" xfId="0" applyFont="1" applyFill="1" applyBorder="1" applyAlignment="1">
      <alignment horizontal="left" vertical="center" wrapText="1"/>
    </xf>
    <xf numFmtId="0" fontId="6" fillId="3" borderId="2" xfId="0" applyFont="1" applyFill="1" applyBorder="1" applyAlignment="1">
      <alignment horizontal="left" vertical="center" wrapText="1"/>
    </xf>
    <xf numFmtId="0" fontId="6" fillId="3" borderId="2" xfId="0" applyFont="1" applyFill="1" applyBorder="1" applyAlignment="1" applyProtection="1">
      <alignment horizontal="left" vertical="center" wrapText="1"/>
      <protection locked="0"/>
    </xf>
    <xf numFmtId="0" fontId="6" fillId="3" borderId="6" xfId="0" applyFont="1" applyFill="1" applyBorder="1" applyAlignment="1" applyProtection="1">
      <alignment horizontal="left" vertical="center" wrapText="1"/>
      <protection locked="0"/>
    </xf>
    <xf numFmtId="0" fontId="6" fillId="3" borderId="7" xfId="0" applyFont="1" applyFill="1" applyBorder="1" applyAlignment="1" applyProtection="1">
      <alignment horizontal="left" vertical="center" wrapText="1"/>
      <protection locked="0"/>
    </xf>
    <xf numFmtId="0" fontId="6" fillId="3" borderId="6" xfId="0" applyFont="1" applyFill="1" applyBorder="1" applyAlignment="1">
      <alignment horizontal="left" vertical="center" wrapText="1"/>
    </xf>
    <xf numFmtId="0" fontId="36" fillId="0" borderId="8" xfId="1" applyFont="1" applyBorder="1" applyAlignment="1">
      <alignment horizontal="center"/>
    </xf>
    <xf numFmtId="0" fontId="36" fillId="0" borderId="0" xfId="1" applyFont="1" applyAlignment="1">
      <alignment horizontal="center" vertical="center"/>
    </xf>
    <xf numFmtId="0" fontId="36" fillId="0" borderId="21" xfId="1" applyFont="1" applyBorder="1" applyAlignment="1">
      <alignment horizontal="center" vertical="center"/>
    </xf>
    <xf numFmtId="0" fontId="36" fillId="0" borderId="22" xfId="1" applyFont="1" applyBorder="1" applyAlignment="1">
      <alignment horizontal="center" vertical="center"/>
    </xf>
    <xf numFmtId="0" fontId="36" fillId="0" borderId="20" xfId="1" applyFont="1"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35" fillId="0" borderId="15" xfId="1" applyFont="1" applyBorder="1" applyAlignment="1">
      <alignment horizontal="center" vertical="center"/>
    </xf>
    <xf numFmtId="0" fontId="35" fillId="0" borderId="16" xfId="1" applyFont="1" applyBorder="1" applyAlignment="1">
      <alignment horizontal="center" vertical="center"/>
    </xf>
    <xf numFmtId="0" fontId="35" fillId="0" borderId="17" xfId="1" applyFont="1" applyBorder="1" applyAlignment="1">
      <alignment horizontal="center" vertical="center"/>
    </xf>
    <xf numFmtId="0" fontId="35" fillId="0" borderId="8" xfId="1" applyFont="1" applyBorder="1" applyAlignment="1">
      <alignment horizontal="center" vertical="center"/>
    </xf>
    <xf numFmtId="0" fontId="35" fillId="0" borderId="0" xfId="1" applyFont="1" applyAlignment="1">
      <alignment horizontal="center" vertical="center"/>
    </xf>
    <xf numFmtId="0" fontId="35" fillId="0" borderId="9" xfId="1" applyFont="1" applyBorder="1" applyAlignment="1">
      <alignment horizontal="center" vertical="center"/>
    </xf>
    <xf numFmtId="0" fontId="38" fillId="0" borderId="0" xfId="1" applyFont="1" applyAlignment="1">
      <alignment horizontal="justify" vertical="top" wrapText="1" readingOrder="1"/>
    </xf>
    <xf numFmtId="0" fontId="35" fillId="0" borderId="0" xfId="1" applyFont="1" applyAlignment="1" applyProtection="1">
      <alignment horizontal="justify" vertical="top" wrapText="1"/>
      <protection hidden="1"/>
    </xf>
    <xf numFmtId="0" fontId="36" fillId="0" borderId="0" xfId="1" applyFont="1" applyAlignment="1">
      <alignment horizontal="left" vertical="top"/>
    </xf>
    <xf numFmtId="0" fontId="0" fillId="0" borderId="0" xfId="0" applyAlignment="1">
      <alignment horizontal="justify" vertical="top" wrapText="1"/>
    </xf>
    <xf numFmtId="0" fontId="39" fillId="0" borderId="8" xfId="1" applyFont="1" applyBorder="1" applyAlignment="1">
      <alignment horizontal="left" vertical="center"/>
    </xf>
    <xf numFmtId="0" fontId="39" fillId="0" borderId="0" xfId="1" applyFont="1" applyAlignment="1">
      <alignment horizontal="left" vertical="center"/>
    </xf>
    <xf numFmtId="0" fontId="39" fillId="0" borderId="9" xfId="1" applyFont="1" applyBorder="1" applyAlignment="1">
      <alignment horizontal="left" vertical="center"/>
    </xf>
    <xf numFmtId="0" fontId="20" fillId="4" borderId="2" xfId="0" applyFont="1" applyFill="1" applyBorder="1" applyAlignment="1">
      <alignment horizontal="left" vertical="top" wrapText="1"/>
    </xf>
    <xf numFmtId="0" fontId="20" fillId="4" borderId="6" xfId="0" applyFont="1" applyFill="1" applyBorder="1" applyAlignment="1">
      <alignment horizontal="left" vertical="top"/>
    </xf>
    <xf numFmtId="0" fontId="20" fillId="4" borderId="7" xfId="0" applyFont="1" applyFill="1" applyBorder="1" applyAlignment="1">
      <alignment horizontal="left" vertical="top"/>
    </xf>
    <xf numFmtId="0" fontId="6" fillId="3" borderId="27" xfId="0" applyFont="1" applyFill="1" applyBorder="1" applyAlignment="1" applyProtection="1">
      <alignment horizontal="left" vertical="center" wrapText="1"/>
      <protection locked="0"/>
    </xf>
    <xf numFmtId="0" fontId="6" fillId="3" borderId="13" xfId="0" applyFont="1" applyFill="1" applyBorder="1" applyAlignment="1" applyProtection="1">
      <alignment horizontal="left" vertical="center" wrapText="1"/>
      <protection locked="0"/>
    </xf>
  </cellXfs>
  <cellStyles count="10">
    <cellStyle name="AFE" xfId="1" xr:uid="{00000000-0005-0000-0000-000000000000}"/>
    <cellStyle name="Гиперссылка" xfId="9" builtinId="8"/>
    <cellStyle name="Гиперссылка 2" xfId="7" xr:uid="{00000000-0005-0000-0000-000002000000}"/>
    <cellStyle name="Обычный" xfId="0" builtinId="0"/>
    <cellStyle name="Обычный 2" xfId="8" xr:uid="{00000000-0005-0000-0000-000004000000}"/>
    <cellStyle name="Обычный 2 2" xfId="2" xr:uid="{00000000-0005-0000-0000-000005000000}"/>
    <cellStyle name="Обычный_Книга2" xfId="3" xr:uid="{00000000-0005-0000-0000-000006000000}"/>
    <cellStyle name="Процентный" xfId="6" builtinId="5"/>
    <cellStyle name="Стиль 1" xfId="4" xr:uid="{00000000-0005-0000-0000-000008000000}"/>
    <cellStyle name="Финансовый" xfId="5" builtinId="3"/>
  </cellStyles>
  <dxfs count="51">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ont>
        <b/>
        <i val="0"/>
        <color rgb="FFFF0000"/>
      </font>
    </dxf>
    <dxf>
      <fill>
        <patternFill>
          <bgColor indexed="10"/>
        </patternFill>
      </fill>
    </dxf>
    <dxf>
      <fill>
        <patternFill>
          <bgColor indexed="47"/>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i val="0"/>
        <color rgb="FFFF0000"/>
      </font>
    </dxf>
    <dxf>
      <fill>
        <patternFill>
          <bgColor indexed="10"/>
        </patternFill>
      </fill>
    </dxf>
    <dxf>
      <fill>
        <patternFill>
          <bgColor indexed="47"/>
        </patternFill>
      </fill>
    </dxf>
  </dxfs>
  <tableStyles count="1" defaultTableStyle="Стиль таблицы 1" defaultPivotStyle="PivotStyleLight16">
    <tableStyle name="Стиль таблицы 1" pivot="0" count="0" xr9:uid="{00000000-0011-0000-FFFF-FFFF00000000}"/>
  </tableStyles>
  <colors>
    <mruColors>
      <color rgb="FFFFFFCC"/>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4.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3">
    <tabColor theme="9"/>
    <pageSetUpPr fitToPage="1"/>
  </sheetPr>
  <dimension ref="A1:Q172"/>
  <sheetViews>
    <sheetView showGridLines="0" view="pageBreakPreview" topLeftCell="A141" zoomScale="40" zoomScaleNormal="40" zoomScaleSheetLayoutView="40" zoomScalePageLayoutView="48" workbookViewId="0" xr3:uid="{AEA406A1-0E4B-5B11-9CD5-51D6E497D94C}">
      <selection activeCell="O10" sqref="O10"/>
    </sheetView>
  </sheetViews>
  <sheetFormatPr defaultColWidth="9.140625" defaultRowHeight="23.1"/>
  <cols>
    <col min="1" max="1" width="16.5703125" style="79" customWidth="1"/>
    <col min="2" max="2" width="45.85546875" style="79" customWidth="1"/>
    <col min="3" max="3" width="26.42578125" style="79" customWidth="1"/>
    <col min="4" max="4" width="44.5703125" style="79" customWidth="1"/>
    <col min="5" max="5" width="14.7109375" style="79" customWidth="1"/>
    <col min="6" max="6" width="9.42578125" style="79" customWidth="1"/>
    <col min="7" max="7" width="18.5703125" style="79" customWidth="1"/>
    <col min="8" max="8" width="22.7109375" style="79" customWidth="1"/>
    <col min="9" max="9" width="15.140625" style="79" customWidth="1"/>
    <col min="10" max="10" width="25.140625" style="79" customWidth="1"/>
    <col min="11" max="11" width="22.5703125" style="79" customWidth="1"/>
    <col min="12" max="12" width="15" style="79" customWidth="1"/>
    <col min="13" max="13" width="20.5703125" style="79" customWidth="1"/>
    <col min="14" max="14" width="22.140625" style="79" customWidth="1"/>
    <col min="15" max="15" width="23.5703125" style="79" customWidth="1"/>
    <col min="16" max="16" width="17.5703125" style="79" customWidth="1"/>
    <col min="17" max="16384" width="9.140625" style="79"/>
  </cols>
  <sheetData>
    <row r="1" spans="1:16" ht="32.25" customHeight="1">
      <c r="A1" s="343" t="str">
        <f>IF('Форма ввода'!C8&gt;0,'Форма ввода'!C8,"")</f>
        <v/>
      </c>
      <c r="B1" s="343"/>
      <c r="C1" s="148"/>
      <c r="D1" s="303"/>
      <c r="E1" s="148"/>
      <c r="F1" s="149"/>
      <c r="G1" s="149"/>
      <c r="H1" s="149"/>
      <c r="I1" s="150"/>
      <c r="J1" s="150"/>
      <c r="K1" s="334" t="str">
        <f>CONCATENATE("Дополнительное соглашение № ",'Форма ввода'!C6," от ",IF('Форма ввода'!C7="","",TEXT(DAY('Форма ввода'!C7),"00")&amp;" "&amp;VLOOKUP(MONTH('Форма ввода'!C7),Справочник!$D$2:$E$13,2,0)&amp;" "&amp;YEAR('Форма ввода'!C7)&amp;" г."))</f>
        <v xml:space="preserve">Дополнительное соглашение №  от </v>
      </c>
      <c r="L1" s="334"/>
      <c r="M1" s="334"/>
      <c r="N1" s="334"/>
      <c r="O1" s="334"/>
      <c r="P1" s="334"/>
    </row>
    <row r="2" spans="1:16" ht="32.25" customHeight="1">
      <c r="A2" s="151"/>
      <c r="B2" s="152"/>
      <c r="C2" s="152"/>
      <c r="D2" s="152"/>
      <c r="E2" s="152"/>
      <c r="F2" s="152"/>
      <c r="G2" s="151"/>
      <c r="H2" s="151"/>
      <c r="I2" s="153"/>
      <c r="J2" s="153"/>
      <c r="K2" s="335" t="str">
        <f>CONCATENATE("к Договору поставки № ",'Форма ввода'!C4," от ",IF('Форма ввода'!C5="","",TEXT(DAY('Форма ввода'!C5),"00")&amp;" "&amp;VLOOKUP(MONTH('Форма ввода'!C5),Справочник!$D$2:$E$13,2,0)&amp;" "&amp;YEAR('Форма ввода'!C5)&amp;" г."))</f>
        <v xml:space="preserve">к Договору поставки №  от </v>
      </c>
      <c r="L2" s="335"/>
      <c r="M2" s="335"/>
      <c r="N2" s="335"/>
      <c r="O2" s="335"/>
      <c r="P2" s="335"/>
    </row>
    <row r="3" spans="1:16" ht="30.6">
      <c r="A3" s="151"/>
      <c r="B3" s="152"/>
      <c r="C3" s="152"/>
      <c r="D3" s="152"/>
      <c r="E3" s="152"/>
      <c r="F3" s="152"/>
      <c r="G3" s="151"/>
      <c r="H3" s="151"/>
      <c r="I3" s="151"/>
      <c r="J3" s="153"/>
      <c r="K3" s="151" t="str">
        <f>IF(AND('Форма ввода'!C9="",'Форма ввода'!C10=""),"",CONCATENATE("№ ДД: ",'Форма ввода'!C9,"; № PO: ",'Форма ввода'!C10))</f>
        <v/>
      </c>
      <c r="L3" s="151"/>
      <c r="M3" s="154"/>
      <c r="N3" s="154"/>
      <c r="O3" s="154"/>
      <c r="P3" s="151"/>
    </row>
    <row r="4" spans="1:16" ht="30.6">
      <c r="A4" s="155"/>
      <c r="B4" s="155"/>
      <c r="C4" s="156"/>
      <c r="D4" s="156"/>
      <c r="E4" s="156"/>
      <c r="F4" s="156"/>
      <c r="G4" s="157"/>
      <c r="H4" s="157"/>
      <c r="I4" s="157"/>
      <c r="J4" s="157"/>
      <c r="K4" s="157"/>
      <c r="L4" s="157"/>
      <c r="M4" s="341"/>
      <c r="N4" s="341"/>
      <c r="O4" s="341"/>
      <c r="P4" s="341"/>
    </row>
    <row r="5" spans="1:16" s="80" customFormat="1" ht="32.25" customHeight="1">
      <c r="A5" s="342" t="str">
        <f>CONCATENATE(VLOOKUP('Форма ввода'!C11,Справочник!A2:C66,3,),"(",VLOOKUP('Форма ввода'!C11,Справочник!A2:C66,2,),"), именуемое в дальнейшем «Покупатель», с одной стороны, и")</f>
        <v>(Выпадающий список)((Выпадающий список)), именуемое в дальнейшем «Покупатель», с одной стороны, и</v>
      </c>
      <c r="B5" s="342"/>
      <c r="C5" s="342"/>
      <c r="D5" s="342"/>
      <c r="E5" s="342"/>
      <c r="F5" s="342"/>
      <c r="G5" s="342"/>
      <c r="H5" s="342"/>
      <c r="I5" s="342"/>
      <c r="J5" s="342"/>
      <c r="K5" s="342"/>
      <c r="L5" s="342"/>
      <c r="M5" s="342"/>
      <c r="N5" s="342"/>
      <c r="O5" s="342"/>
      <c r="P5" s="342"/>
    </row>
    <row r="6" spans="1:16" ht="72.95" customHeight="1">
      <c r="A6" s="342" t="str">
        <f>CONCATENATE('Форма ввода'!C12," (",'Форма ввода'!C13,"), именуемое в дальнейшем «Поставщик», с другой стороны, вместе именуемые в дальнейшем «Стороны», договорились о нижеследующем:")</f>
        <v xml:space="preserve"> (), именуемое в дальнейшем «Поставщик», с другой стороны, вместе именуемые в дальнейшем «Стороны», договорились о нижеследующем:</v>
      </c>
      <c r="B6" s="342"/>
      <c r="C6" s="342"/>
      <c r="D6" s="342"/>
      <c r="E6" s="342"/>
      <c r="F6" s="342"/>
      <c r="G6" s="342"/>
      <c r="H6" s="342"/>
      <c r="I6" s="342"/>
      <c r="J6" s="342"/>
      <c r="K6" s="342"/>
      <c r="L6" s="342"/>
      <c r="M6" s="342"/>
      <c r="N6" s="342"/>
      <c r="O6" s="342"/>
      <c r="P6" s="342"/>
    </row>
    <row r="7" spans="1:16" ht="30">
      <c r="A7" s="158" t="s">
        <v>0</v>
      </c>
      <c r="B7" s="330" t="s">
        <v>1</v>
      </c>
      <c r="C7" s="330"/>
      <c r="D7" s="330"/>
      <c r="E7" s="330"/>
      <c r="F7" s="330"/>
      <c r="G7" s="330"/>
      <c r="H7" s="330"/>
      <c r="I7" s="330"/>
      <c r="J7" s="330"/>
      <c r="K7" s="330"/>
      <c r="L7" s="330"/>
      <c r="M7" s="330"/>
      <c r="N7" s="330"/>
      <c r="O7" s="330"/>
      <c r="P7" s="330"/>
    </row>
    <row r="8" spans="1:16">
      <c r="A8" s="81"/>
      <c r="B8" s="336"/>
      <c r="C8" s="336"/>
      <c r="D8" s="336"/>
      <c r="E8" s="336"/>
      <c r="F8" s="336"/>
      <c r="G8" s="336"/>
      <c r="H8" s="336"/>
      <c r="I8" s="336"/>
      <c r="J8" s="336"/>
      <c r="K8" s="336"/>
      <c r="L8" s="336"/>
      <c r="M8" s="336"/>
      <c r="N8" s="336"/>
      <c r="O8" s="336"/>
      <c r="P8" s="336"/>
    </row>
    <row r="9" spans="1:16" s="80" customFormat="1" ht="90">
      <c r="A9" s="132" t="s">
        <v>2</v>
      </c>
      <c r="B9" s="132" t="s">
        <v>3</v>
      </c>
      <c r="C9" s="132" t="s">
        <v>4</v>
      </c>
      <c r="D9" s="132" t="s">
        <v>5</v>
      </c>
      <c r="E9" s="132" t="s">
        <v>6</v>
      </c>
      <c r="F9" s="132" t="s">
        <v>7</v>
      </c>
      <c r="G9" s="132" t="s">
        <v>8</v>
      </c>
      <c r="H9" s="132" t="s">
        <v>9</v>
      </c>
      <c r="I9" s="132" t="s">
        <v>10</v>
      </c>
      <c r="J9" s="132" t="str">
        <f>CONCATENATE("Цена за единицу измерения без НДС, ",'Форма ввода'!$C$14)</f>
        <v>Цена за единицу измерения без НДС, руб.</v>
      </c>
      <c r="K9" s="132" t="str">
        <f>CONCATENATE("Стоимость без учета НДС, ",'Форма ввода'!$C$14)</f>
        <v>Стоимость без учета НДС, руб.</v>
      </c>
      <c r="L9" s="132" t="s">
        <v>11</v>
      </c>
      <c r="M9" s="132" t="str">
        <f>CONCATENATE("Сумма НДС ",'Форма ввода'!$C$14)</f>
        <v>Сумма НДС руб.</v>
      </c>
      <c r="N9" s="132" t="str">
        <f>CONCATENATE("Стоимость с учетом НДС, ",'Форма ввода'!$C$14)</f>
        <v>Стоимость с учетом НДС, руб.</v>
      </c>
      <c r="O9" s="132" t="s">
        <v>12</v>
      </c>
      <c r="P9" s="132" t="str">
        <f>IF(B48="в соответствии с таблицей п. 1 настоящего Дополнительного соглашения.","Cрок поставки"," ")</f>
        <v xml:space="preserve"> </v>
      </c>
    </row>
    <row r="10" spans="1:16" s="83" customFormat="1">
      <c r="A10" s="84">
        <v>1</v>
      </c>
      <c r="B10" s="85"/>
      <c r="C10" s="85"/>
      <c r="D10" s="85"/>
      <c r="E10" s="85"/>
      <c r="F10" s="86"/>
      <c r="G10" s="87"/>
      <c r="H10" s="87"/>
      <c r="I10" s="88"/>
      <c r="J10" s="89"/>
      <c r="K10" s="90">
        <f>ROUND(I10*J10,2)</f>
        <v>0</v>
      </c>
      <c r="L10" s="146"/>
      <c r="M10" s="90">
        <f>IF(L10="Без НДС",0,ROUND(K10*L10,2))</f>
        <v>0</v>
      </c>
      <c r="N10" s="90">
        <f>M10+K10</f>
        <v>0</v>
      </c>
      <c r="O10" s="92"/>
      <c r="P10" s="93"/>
    </row>
    <row r="11" spans="1:16" s="83" customFormat="1">
      <c r="A11" s="84">
        <v>2</v>
      </c>
      <c r="B11" s="85"/>
      <c r="C11" s="85"/>
      <c r="D11" s="85"/>
      <c r="E11" s="85"/>
      <c r="F11" s="86"/>
      <c r="G11" s="87"/>
      <c r="H11" s="87"/>
      <c r="I11" s="88"/>
      <c r="J11" s="89"/>
      <c r="K11" s="90">
        <f t="shared" ref="K11:K34" si="0">ROUND(I11*J11,2)</f>
        <v>0</v>
      </c>
      <c r="L11" s="91"/>
      <c r="M11" s="90">
        <f t="shared" ref="M11:M34" si="1">IF(L11="Без НДС",0,ROUND(K11*L11,2))</f>
        <v>0</v>
      </c>
      <c r="N11" s="90">
        <f t="shared" ref="N11:N34" si="2">M11+K11</f>
        <v>0</v>
      </c>
      <c r="O11" s="92"/>
      <c r="P11" s="93"/>
    </row>
    <row r="12" spans="1:16" s="83" customFormat="1">
      <c r="A12" s="84">
        <v>3</v>
      </c>
      <c r="B12" s="85"/>
      <c r="C12" s="85"/>
      <c r="D12" s="85"/>
      <c r="E12" s="85"/>
      <c r="F12" s="86"/>
      <c r="G12" s="87"/>
      <c r="H12" s="87"/>
      <c r="I12" s="88"/>
      <c r="J12" s="89"/>
      <c r="K12" s="90">
        <f t="shared" si="0"/>
        <v>0</v>
      </c>
      <c r="L12" s="91"/>
      <c r="M12" s="90">
        <f t="shared" si="1"/>
        <v>0</v>
      </c>
      <c r="N12" s="90">
        <f t="shared" si="2"/>
        <v>0</v>
      </c>
      <c r="O12" s="92"/>
      <c r="P12" s="93"/>
    </row>
    <row r="13" spans="1:16" s="83" customFormat="1">
      <c r="A13" s="84">
        <v>4</v>
      </c>
      <c r="B13" s="85"/>
      <c r="C13" s="85"/>
      <c r="D13" s="85"/>
      <c r="E13" s="85"/>
      <c r="F13" s="86"/>
      <c r="G13" s="87"/>
      <c r="H13" s="87"/>
      <c r="I13" s="88"/>
      <c r="J13" s="89"/>
      <c r="K13" s="90">
        <f t="shared" si="0"/>
        <v>0</v>
      </c>
      <c r="L13" s="91"/>
      <c r="M13" s="90">
        <f t="shared" si="1"/>
        <v>0</v>
      </c>
      <c r="N13" s="90">
        <f t="shared" si="2"/>
        <v>0</v>
      </c>
      <c r="O13" s="92"/>
      <c r="P13" s="93"/>
    </row>
    <row r="14" spans="1:16" s="83" customFormat="1">
      <c r="A14" s="84">
        <v>5</v>
      </c>
      <c r="B14" s="85"/>
      <c r="C14" s="85"/>
      <c r="D14" s="85"/>
      <c r="E14" s="85"/>
      <c r="F14" s="86"/>
      <c r="G14" s="87"/>
      <c r="H14" s="87"/>
      <c r="I14" s="88"/>
      <c r="J14" s="89"/>
      <c r="K14" s="90">
        <f t="shared" si="0"/>
        <v>0</v>
      </c>
      <c r="L14" s="91"/>
      <c r="M14" s="90">
        <f t="shared" si="1"/>
        <v>0</v>
      </c>
      <c r="N14" s="90">
        <f t="shared" si="2"/>
        <v>0</v>
      </c>
      <c r="O14" s="92"/>
      <c r="P14" s="93"/>
    </row>
    <row r="15" spans="1:16" s="83" customFormat="1">
      <c r="A15" s="84">
        <v>6</v>
      </c>
      <c r="B15" s="85"/>
      <c r="C15" s="85"/>
      <c r="D15" s="85"/>
      <c r="E15" s="85"/>
      <c r="F15" s="86"/>
      <c r="G15" s="87"/>
      <c r="H15" s="87"/>
      <c r="I15" s="88"/>
      <c r="J15" s="89"/>
      <c r="K15" s="90">
        <f t="shared" si="0"/>
        <v>0</v>
      </c>
      <c r="L15" s="91"/>
      <c r="M15" s="90">
        <f t="shared" si="1"/>
        <v>0</v>
      </c>
      <c r="N15" s="90">
        <f t="shared" si="2"/>
        <v>0</v>
      </c>
      <c r="O15" s="92"/>
      <c r="P15" s="93"/>
    </row>
    <row r="16" spans="1:16" s="83" customFormat="1">
      <c r="A16" s="84">
        <v>7</v>
      </c>
      <c r="B16" s="85"/>
      <c r="C16" s="85"/>
      <c r="D16" s="85"/>
      <c r="E16" s="85"/>
      <c r="F16" s="86"/>
      <c r="G16" s="87"/>
      <c r="H16" s="87"/>
      <c r="I16" s="88"/>
      <c r="J16" s="89"/>
      <c r="K16" s="90">
        <f t="shared" si="0"/>
        <v>0</v>
      </c>
      <c r="L16" s="91"/>
      <c r="M16" s="90">
        <f t="shared" si="1"/>
        <v>0</v>
      </c>
      <c r="N16" s="90">
        <f t="shared" si="2"/>
        <v>0</v>
      </c>
      <c r="O16" s="92"/>
      <c r="P16" s="93"/>
    </row>
    <row r="17" spans="1:16" s="83" customFormat="1">
      <c r="A17" s="84">
        <v>8</v>
      </c>
      <c r="B17" s="85"/>
      <c r="C17" s="85"/>
      <c r="D17" s="85"/>
      <c r="E17" s="85"/>
      <c r="F17" s="86"/>
      <c r="G17" s="87"/>
      <c r="H17" s="87"/>
      <c r="I17" s="88"/>
      <c r="J17" s="89"/>
      <c r="K17" s="90">
        <f t="shared" si="0"/>
        <v>0</v>
      </c>
      <c r="L17" s="91"/>
      <c r="M17" s="90">
        <f t="shared" si="1"/>
        <v>0</v>
      </c>
      <c r="N17" s="90">
        <f t="shared" si="2"/>
        <v>0</v>
      </c>
      <c r="O17" s="92"/>
      <c r="P17" s="93"/>
    </row>
    <row r="18" spans="1:16" s="83" customFormat="1">
      <c r="A18" s="84">
        <v>9</v>
      </c>
      <c r="B18" s="85"/>
      <c r="C18" s="85"/>
      <c r="D18" s="85"/>
      <c r="E18" s="85"/>
      <c r="F18" s="86"/>
      <c r="G18" s="87"/>
      <c r="H18" s="87"/>
      <c r="I18" s="88"/>
      <c r="J18" s="89"/>
      <c r="K18" s="90">
        <f t="shared" si="0"/>
        <v>0</v>
      </c>
      <c r="L18" s="91"/>
      <c r="M18" s="90">
        <f t="shared" si="1"/>
        <v>0</v>
      </c>
      <c r="N18" s="90">
        <f t="shared" si="2"/>
        <v>0</v>
      </c>
      <c r="O18" s="92"/>
      <c r="P18" s="93"/>
    </row>
    <row r="19" spans="1:16" s="83" customFormat="1">
      <c r="A19" s="84">
        <v>10</v>
      </c>
      <c r="B19" s="85"/>
      <c r="C19" s="85"/>
      <c r="D19" s="85"/>
      <c r="E19" s="85"/>
      <c r="F19" s="86"/>
      <c r="G19" s="87"/>
      <c r="H19" s="87"/>
      <c r="I19" s="88"/>
      <c r="J19" s="89"/>
      <c r="K19" s="90">
        <f t="shared" si="0"/>
        <v>0</v>
      </c>
      <c r="L19" s="91"/>
      <c r="M19" s="90">
        <f t="shared" si="1"/>
        <v>0</v>
      </c>
      <c r="N19" s="90">
        <f t="shared" si="2"/>
        <v>0</v>
      </c>
      <c r="O19" s="92"/>
      <c r="P19" s="93"/>
    </row>
    <row r="20" spans="1:16" s="83" customFormat="1">
      <c r="A20" s="84">
        <v>11</v>
      </c>
      <c r="B20" s="85"/>
      <c r="C20" s="85"/>
      <c r="D20" s="85"/>
      <c r="E20" s="85"/>
      <c r="F20" s="86"/>
      <c r="G20" s="87"/>
      <c r="H20" s="87"/>
      <c r="I20" s="88"/>
      <c r="J20" s="89"/>
      <c r="K20" s="90">
        <f t="shared" si="0"/>
        <v>0</v>
      </c>
      <c r="L20" s="91"/>
      <c r="M20" s="90">
        <f t="shared" si="1"/>
        <v>0</v>
      </c>
      <c r="N20" s="90">
        <f t="shared" si="2"/>
        <v>0</v>
      </c>
      <c r="O20" s="92"/>
      <c r="P20" s="93"/>
    </row>
    <row r="21" spans="1:16" s="83" customFormat="1">
      <c r="A21" s="84">
        <v>12</v>
      </c>
      <c r="B21" s="85"/>
      <c r="C21" s="85"/>
      <c r="D21" s="85"/>
      <c r="E21" s="85"/>
      <c r="F21" s="86"/>
      <c r="G21" s="87"/>
      <c r="H21" s="87"/>
      <c r="I21" s="88"/>
      <c r="J21" s="89"/>
      <c r="K21" s="90">
        <f t="shared" si="0"/>
        <v>0</v>
      </c>
      <c r="L21" s="91"/>
      <c r="M21" s="90">
        <f t="shared" si="1"/>
        <v>0</v>
      </c>
      <c r="N21" s="90">
        <f t="shared" si="2"/>
        <v>0</v>
      </c>
      <c r="O21" s="92"/>
      <c r="P21" s="93"/>
    </row>
    <row r="22" spans="1:16" s="83" customFormat="1">
      <c r="A22" s="84">
        <v>13</v>
      </c>
      <c r="B22" s="85"/>
      <c r="C22" s="85"/>
      <c r="D22" s="85"/>
      <c r="E22" s="85"/>
      <c r="F22" s="86"/>
      <c r="G22" s="87"/>
      <c r="H22" s="87"/>
      <c r="I22" s="88"/>
      <c r="J22" s="89"/>
      <c r="K22" s="90">
        <f t="shared" si="0"/>
        <v>0</v>
      </c>
      <c r="L22" s="91"/>
      <c r="M22" s="90">
        <f t="shared" si="1"/>
        <v>0</v>
      </c>
      <c r="N22" s="90">
        <f t="shared" si="2"/>
        <v>0</v>
      </c>
      <c r="O22" s="92"/>
      <c r="P22" s="93"/>
    </row>
    <row r="23" spans="1:16" s="83" customFormat="1">
      <c r="A23" s="84">
        <v>14</v>
      </c>
      <c r="B23" s="85"/>
      <c r="C23" s="85"/>
      <c r="D23" s="85"/>
      <c r="E23" s="85"/>
      <c r="F23" s="86"/>
      <c r="G23" s="87"/>
      <c r="H23" s="87"/>
      <c r="I23" s="88"/>
      <c r="J23" s="89"/>
      <c r="K23" s="90">
        <f t="shared" si="0"/>
        <v>0</v>
      </c>
      <c r="L23" s="91"/>
      <c r="M23" s="90">
        <f t="shared" si="1"/>
        <v>0</v>
      </c>
      <c r="N23" s="90">
        <f t="shared" si="2"/>
        <v>0</v>
      </c>
      <c r="O23" s="92"/>
      <c r="P23" s="93"/>
    </row>
    <row r="24" spans="1:16" s="83" customFormat="1">
      <c r="A24" s="84">
        <v>15</v>
      </c>
      <c r="B24" s="85"/>
      <c r="C24" s="85"/>
      <c r="D24" s="85"/>
      <c r="E24" s="85"/>
      <c r="F24" s="86"/>
      <c r="G24" s="87"/>
      <c r="H24" s="87"/>
      <c r="I24" s="88"/>
      <c r="J24" s="89"/>
      <c r="K24" s="90">
        <f t="shared" si="0"/>
        <v>0</v>
      </c>
      <c r="L24" s="91"/>
      <c r="M24" s="90">
        <f t="shared" si="1"/>
        <v>0</v>
      </c>
      <c r="N24" s="90">
        <f t="shared" si="2"/>
        <v>0</v>
      </c>
      <c r="O24" s="92"/>
      <c r="P24" s="93"/>
    </row>
    <row r="25" spans="1:16" s="83" customFormat="1">
      <c r="A25" s="84">
        <v>16</v>
      </c>
      <c r="B25" s="85"/>
      <c r="C25" s="85"/>
      <c r="D25" s="85"/>
      <c r="E25" s="85"/>
      <c r="F25" s="86"/>
      <c r="G25" s="87"/>
      <c r="H25" s="87"/>
      <c r="I25" s="88"/>
      <c r="J25" s="89"/>
      <c r="K25" s="90">
        <f t="shared" si="0"/>
        <v>0</v>
      </c>
      <c r="L25" s="91"/>
      <c r="M25" s="90">
        <f t="shared" si="1"/>
        <v>0</v>
      </c>
      <c r="N25" s="90">
        <f t="shared" si="2"/>
        <v>0</v>
      </c>
      <c r="O25" s="92"/>
      <c r="P25" s="93"/>
    </row>
    <row r="26" spans="1:16" s="83" customFormat="1">
      <c r="A26" s="84">
        <v>17</v>
      </c>
      <c r="B26" s="85"/>
      <c r="C26" s="85"/>
      <c r="D26" s="85"/>
      <c r="E26" s="85"/>
      <c r="F26" s="86"/>
      <c r="G26" s="87"/>
      <c r="H26" s="87"/>
      <c r="I26" s="88"/>
      <c r="J26" s="89"/>
      <c r="K26" s="90">
        <f t="shared" si="0"/>
        <v>0</v>
      </c>
      <c r="L26" s="91"/>
      <c r="M26" s="90">
        <f t="shared" si="1"/>
        <v>0</v>
      </c>
      <c r="N26" s="90">
        <f t="shared" si="2"/>
        <v>0</v>
      </c>
      <c r="O26" s="92"/>
      <c r="P26" s="93"/>
    </row>
    <row r="27" spans="1:16" s="83" customFormat="1">
      <c r="A27" s="84">
        <v>18</v>
      </c>
      <c r="B27" s="85"/>
      <c r="C27" s="85"/>
      <c r="D27" s="85"/>
      <c r="E27" s="85"/>
      <c r="F27" s="86"/>
      <c r="G27" s="87"/>
      <c r="H27" s="87"/>
      <c r="I27" s="88"/>
      <c r="J27" s="89"/>
      <c r="K27" s="90">
        <f t="shared" si="0"/>
        <v>0</v>
      </c>
      <c r="L27" s="91"/>
      <c r="M27" s="90">
        <f t="shared" si="1"/>
        <v>0</v>
      </c>
      <c r="N27" s="90">
        <f t="shared" si="2"/>
        <v>0</v>
      </c>
      <c r="O27" s="92"/>
      <c r="P27" s="93"/>
    </row>
    <row r="28" spans="1:16" s="83" customFormat="1">
      <c r="A28" s="84">
        <v>19</v>
      </c>
      <c r="B28" s="85"/>
      <c r="C28" s="85"/>
      <c r="D28" s="85"/>
      <c r="E28" s="85"/>
      <c r="F28" s="86"/>
      <c r="G28" s="87"/>
      <c r="H28" s="87"/>
      <c r="I28" s="88"/>
      <c r="J28" s="89"/>
      <c r="K28" s="90">
        <f t="shared" si="0"/>
        <v>0</v>
      </c>
      <c r="L28" s="91"/>
      <c r="M28" s="90">
        <f t="shared" si="1"/>
        <v>0</v>
      </c>
      <c r="N28" s="90">
        <f t="shared" si="2"/>
        <v>0</v>
      </c>
      <c r="O28" s="92"/>
      <c r="P28" s="93"/>
    </row>
    <row r="29" spans="1:16" s="83" customFormat="1">
      <c r="A29" s="84">
        <v>20</v>
      </c>
      <c r="B29" s="85"/>
      <c r="C29" s="85"/>
      <c r="D29" s="85"/>
      <c r="E29" s="85"/>
      <c r="F29" s="86"/>
      <c r="G29" s="87"/>
      <c r="H29" s="87"/>
      <c r="I29" s="88"/>
      <c r="J29" s="89"/>
      <c r="K29" s="90">
        <f t="shared" si="0"/>
        <v>0</v>
      </c>
      <c r="L29" s="91"/>
      <c r="M29" s="90">
        <f t="shared" si="1"/>
        <v>0</v>
      </c>
      <c r="N29" s="90">
        <f t="shared" si="2"/>
        <v>0</v>
      </c>
      <c r="O29" s="92"/>
      <c r="P29" s="93"/>
    </row>
    <row r="30" spans="1:16" s="83" customFormat="1">
      <c r="A30" s="84">
        <v>21</v>
      </c>
      <c r="B30" s="85"/>
      <c r="C30" s="85"/>
      <c r="D30" s="85"/>
      <c r="E30" s="85"/>
      <c r="F30" s="86"/>
      <c r="G30" s="87"/>
      <c r="H30" s="87"/>
      <c r="I30" s="88"/>
      <c r="J30" s="89"/>
      <c r="K30" s="90">
        <f t="shared" si="0"/>
        <v>0</v>
      </c>
      <c r="L30" s="91"/>
      <c r="M30" s="90">
        <f t="shared" si="1"/>
        <v>0</v>
      </c>
      <c r="N30" s="90">
        <f t="shared" si="2"/>
        <v>0</v>
      </c>
      <c r="O30" s="92"/>
      <c r="P30" s="93"/>
    </row>
    <row r="31" spans="1:16" s="83" customFormat="1">
      <c r="A31" s="84">
        <v>22</v>
      </c>
      <c r="B31" s="85"/>
      <c r="C31" s="85"/>
      <c r="D31" s="85"/>
      <c r="E31" s="85"/>
      <c r="F31" s="86"/>
      <c r="G31" s="87"/>
      <c r="H31" s="87"/>
      <c r="I31" s="88"/>
      <c r="J31" s="89"/>
      <c r="K31" s="90">
        <f t="shared" si="0"/>
        <v>0</v>
      </c>
      <c r="L31" s="91"/>
      <c r="M31" s="90">
        <f t="shared" si="1"/>
        <v>0</v>
      </c>
      <c r="N31" s="90">
        <f t="shared" si="2"/>
        <v>0</v>
      </c>
      <c r="O31" s="92"/>
      <c r="P31" s="93"/>
    </row>
    <row r="32" spans="1:16" s="83" customFormat="1">
      <c r="A32" s="84">
        <v>23</v>
      </c>
      <c r="B32" s="85"/>
      <c r="C32" s="85"/>
      <c r="D32" s="85"/>
      <c r="E32" s="85"/>
      <c r="F32" s="86"/>
      <c r="G32" s="87"/>
      <c r="H32" s="87"/>
      <c r="I32" s="88"/>
      <c r="J32" s="89"/>
      <c r="K32" s="90">
        <f t="shared" si="0"/>
        <v>0</v>
      </c>
      <c r="L32" s="91"/>
      <c r="M32" s="90">
        <f t="shared" si="1"/>
        <v>0</v>
      </c>
      <c r="N32" s="90">
        <f t="shared" si="2"/>
        <v>0</v>
      </c>
      <c r="O32" s="92"/>
      <c r="P32" s="93"/>
    </row>
    <row r="33" spans="1:17" s="83" customFormat="1">
      <c r="A33" s="84">
        <v>24</v>
      </c>
      <c r="B33" s="85"/>
      <c r="C33" s="85"/>
      <c r="D33" s="85"/>
      <c r="E33" s="85"/>
      <c r="F33" s="86"/>
      <c r="G33" s="87"/>
      <c r="H33" s="87"/>
      <c r="I33" s="88"/>
      <c r="J33" s="89"/>
      <c r="K33" s="90">
        <f t="shared" si="0"/>
        <v>0</v>
      </c>
      <c r="L33" s="91"/>
      <c r="M33" s="90">
        <f t="shared" si="1"/>
        <v>0</v>
      </c>
      <c r="N33" s="90">
        <f t="shared" si="2"/>
        <v>0</v>
      </c>
      <c r="O33" s="92"/>
      <c r="P33" s="93"/>
    </row>
    <row r="34" spans="1:17" s="83" customFormat="1">
      <c r="A34" s="84">
        <v>25</v>
      </c>
      <c r="B34" s="85"/>
      <c r="C34" s="85"/>
      <c r="D34" s="85"/>
      <c r="E34" s="85"/>
      <c r="F34" s="86"/>
      <c r="G34" s="87"/>
      <c r="H34" s="87"/>
      <c r="I34" s="88"/>
      <c r="J34" s="89"/>
      <c r="K34" s="90">
        <f t="shared" si="0"/>
        <v>0</v>
      </c>
      <c r="L34" s="91"/>
      <c r="M34" s="90">
        <f t="shared" si="1"/>
        <v>0</v>
      </c>
      <c r="N34" s="90">
        <f t="shared" si="2"/>
        <v>0</v>
      </c>
      <c r="O34" s="92"/>
      <c r="P34" s="93"/>
    </row>
    <row r="35" spans="1:17" s="83" customFormat="1">
      <c r="A35" s="94" t="s">
        <v>13</v>
      </c>
      <c r="B35" s="95"/>
      <c r="C35" s="95"/>
      <c r="D35" s="95"/>
      <c r="E35" s="95"/>
      <c r="F35" s="96"/>
      <c r="G35" s="97"/>
      <c r="H35" s="97"/>
      <c r="I35" s="98">
        <f>SUM(I10:I34)</f>
        <v>0</v>
      </c>
      <c r="J35" s="99"/>
      <c r="K35" s="100">
        <f>SUM(K10:K34)</f>
        <v>0</v>
      </c>
      <c r="L35" s="145">
        <f>COUNTIF(L10:L34,"Без НДС")</f>
        <v>0</v>
      </c>
      <c r="M35" s="100">
        <f>SUM(M10:M34)</f>
        <v>0</v>
      </c>
      <c r="N35" s="147">
        <f t="shared" ref="N35" si="3">M35+K35</f>
        <v>0</v>
      </c>
      <c r="O35" s="101"/>
      <c r="P35" s="101"/>
    </row>
    <row r="36" spans="1:17" s="83" customFormat="1">
      <c r="A36" s="102" t="e">
        <f ca="1">CONCATENATE("Итого на сумму: "&amp;FirstLetter(CurText(ROUND(N35,2),'Форма ввода'!C14)))</f>
        <v>#NAME?</v>
      </c>
      <c r="B36" s="140"/>
      <c r="C36" s="140"/>
      <c r="D36" s="140"/>
      <c r="E36" s="140"/>
      <c r="F36" s="140"/>
      <c r="G36" s="140"/>
      <c r="H36" s="140"/>
      <c r="I36" s="140"/>
      <c r="J36" s="140"/>
      <c r="K36" s="140"/>
      <c r="L36" s="140"/>
      <c r="M36" s="140"/>
      <c r="N36" s="140"/>
      <c r="O36" s="140"/>
      <c r="P36" s="141"/>
    </row>
    <row r="37" spans="1:17" s="83" customFormat="1">
      <c r="A37" s="102" t="e">
        <f ca="1">CONCATENATE("в том числе НДС:  "&amp;FirstLetter(CurText(ROUND(M35,2),'Форма ввода'!C14)))</f>
        <v>#NAME?</v>
      </c>
      <c r="B37" s="103"/>
      <c r="C37" s="104"/>
      <c r="D37" s="104"/>
      <c r="E37" s="104"/>
      <c r="F37" s="105"/>
      <c r="G37" s="106"/>
      <c r="H37" s="106"/>
      <c r="I37" s="106"/>
      <c r="J37" s="106"/>
      <c r="K37" s="106"/>
      <c r="L37" s="106"/>
      <c r="M37" s="106"/>
      <c r="N37" s="106"/>
      <c r="O37" s="106"/>
      <c r="P37" s="142"/>
    </row>
    <row r="38" spans="1:17" ht="15.75" customHeight="1">
      <c r="A38" s="107"/>
      <c r="B38" s="328"/>
      <c r="C38" s="328"/>
      <c r="D38" s="328"/>
      <c r="E38" s="328"/>
      <c r="F38" s="328"/>
      <c r="G38" s="328"/>
      <c r="H38" s="328"/>
      <c r="I38" s="328"/>
      <c r="J38" s="328"/>
      <c r="K38" s="328"/>
      <c r="L38" s="328"/>
      <c r="M38" s="328"/>
      <c r="N38" s="328"/>
      <c r="O38" s="328"/>
      <c r="P38" s="328"/>
    </row>
    <row r="39" spans="1:17" ht="30.6">
      <c r="A39" s="158" t="s">
        <v>14</v>
      </c>
      <c r="B39" s="159" t="s">
        <v>15</v>
      </c>
      <c r="C39" s="160"/>
      <c r="D39" s="160"/>
      <c r="E39" s="160"/>
      <c r="F39" s="160"/>
      <c r="G39" s="160"/>
      <c r="H39" s="160"/>
      <c r="I39" s="160"/>
      <c r="J39" s="160"/>
      <c r="K39" s="160"/>
      <c r="L39" s="160"/>
      <c r="M39" s="160"/>
      <c r="N39" s="160"/>
      <c r="O39" s="160"/>
      <c r="P39" s="160"/>
    </row>
    <row r="40" spans="1:17" ht="66.75" customHeight="1">
      <c r="A40" s="158"/>
      <c r="B40" s="340" t="str">
        <f>IF('Форма ввода'!C19="Доставка до склада Покупателя (Грузополучателя), расположенного по адресу, указанному  в п.4.",'Форма ввода'!C19,CONCATENATE('Форма ввода'!C19,"
",'Форма ввода'!C18,"."))</f>
        <v>Доставка до склада Покупателя (Грузополучателя), расположенного по адресу, указанному  в п. 4
.</v>
      </c>
      <c r="C40" s="340"/>
      <c r="D40" s="340"/>
      <c r="E40" s="340"/>
      <c r="F40" s="340"/>
      <c r="G40" s="340"/>
      <c r="H40" s="340"/>
      <c r="I40" s="340"/>
      <c r="J40" s="340"/>
      <c r="K40" s="340"/>
      <c r="L40" s="340"/>
      <c r="M40" s="340"/>
      <c r="N40" s="340"/>
      <c r="O40" s="340"/>
      <c r="P40" s="340"/>
    </row>
    <row r="41" spans="1:17" ht="53.85" customHeight="1">
      <c r="A41" s="158" t="s">
        <v>16</v>
      </c>
      <c r="B41" s="159" t="s">
        <v>17</v>
      </c>
      <c r="C41" s="160"/>
      <c r="D41" s="160"/>
      <c r="E41" s="160"/>
      <c r="F41" s="160"/>
      <c r="G41" s="160"/>
      <c r="H41" s="160"/>
      <c r="I41" s="160"/>
      <c r="J41" s="160"/>
      <c r="K41" s="160"/>
      <c r="L41" s="160"/>
      <c r="M41" s="160"/>
      <c r="N41" s="160"/>
      <c r="O41" s="160"/>
      <c r="P41" s="160"/>
    </row>
    <row r="42" spans="1:17" ht="53.85" customHeight="1">
      <c r="A42" s="158"/>
      <c r="B42" s="318">
        <f>'Форма ввода'!C20</f>
        <v>0</v>
      </c>
      <c r="C42" s="318"/>
      <c r="D42" s="318"/>
      <c r="E42" s="318"/>
      <c r="F42" s="318"/>
      <c r="G42" s="318"/>
      <c r="H42" s="318"/>
      <c r="I42" s="318"/>
      <c r="J42" s="318"/>
      <c r="K42" s="318"/>
      <c r="L42" s="318"/>
      <c r="M42" s="318"/>
      <c r="N42" s="318"/>
      <c r="O42" s="318"/>
      <c r="P42" s="318"/>
    </row>
    <row r="43" spans="1:17" ht="73.5" customHeight="1">
      <c r="A43" s="158" t="s">
        <v>18</v>
      </c>
      <c r="B43" s="159" t="s">
        <v>19</v>
      </c>
      <c r="C43" s="160"/>
      <c r="D43" s="160"/>
      <c r="E43" s="160"/>
      <c r="F43" s="160"/>
      <c r="G43" s="160"/>
      <c r="H43" s="160"/>
      <c r="I43" s="160"/>
      <c r="J43" s="160"/>
      <c r="K43" s="160"/>
      <c r="L43" s="160"/>
      <c r="M43" s="160"/>
      <c r="N43" s="160"/>
      <c r="O43" s="160"/>
      <c r="P43" s="160"/>
    </row>
    <row r="44" spans="1:17" ht="73.5" customHeight="1">
      <c r="A44" s="158"/>
      <c r="B44" s="318">
        <f>'Форма ввода'!C21</f>
        <v>0</v>
      </c>
      <c r="C44" s="318"/>
      <c r="D44" s="318"/>
      <c r="E44" s="318"/>
      <c r="F44" s="318"/>
      <c r="G44" s="318"/>
      <c r="H44" s="318"/>
      <c r="I44" s="318"/>
      <c r="J44" s="318"/>
      <c r="K44" s="318"/>
      <c r="L44" s="318"/>
      <c r="M44" s="318"/>
      <c r="N44" s="318"/>
      <c r="O44" s="318"/>
      <c r="P44" s="318"/>
      <c r="Q44" s="169"/>
    </row>
    <row r="45" spans="1:17" ht="73.5" hidden="1" customHeight="1">
      <c r="A45" s="158"/>
      <c r="B45" s="318">
        <f>'Форма ввода'!C22</f>
        <v>0</v>
      </c>
      <c r="C45" s="318"/>
      <c r="D45" s="318"/>
      <c r="E45" s="318"/>
      <c r="F45" s="318"/>
      <c r="G45" s="318"/>
      <c r="H45" s="318"/>
      <c r="I45" s="318"/>
      <c r="J45" s="318"/>
      <c r="K45" s="318"/>
      <c r="L45" s="318"/>
      <c r="M45" s="318"/>
      <c r="N45" s="318"/>
      <c r="O45" s="318"/>
      <c r="P45" s="318"/>
      <c r="Q45" s="168"/>
    </row>
    <row r="46" spans="1:17" ht="73.5" hidden="1" customHeight="1">
      <c r="A46" s="158"/>
      <c r="B46" s="318">
        <f>'Форма ввода'!C23</f>
        <v>0</v>
      </c>
      <c r="C46" s="318"/>
      <c r="D46" s="318"/>
      <c r="E46" s="318"/>
      <c r="F46" s="318"/>
      <c r="G46" s="318"/>
      <c r="H46" s="318"/>
      <c r="I46" s="318"/>
      <c r="J46" s="318"/>
      <c r="K46" s="318"/>
      <c r="L46" s="318"/>
      <c r="M46" s="318"/>
      <c r="N46" s="318"/>
      <c r="O46" s="318"/>
      <c r="P46" s="318"/>
      <c r="Q46" s="168"/>
    </row>
    <row r="47" spans="1:17" ht="66.75" customHeight="1">
      <c r="A47" s="158" t="s">
        <v>20</v>
      </c>
      <c r="B47" s="159" t="s">
        <v>21</v>
      </c>
      <c r="C47" s="169"/>
      <c r="D47" s="169"/>
      <c r="E47" s="169"/>
      <c r="F47" s="169"/>
      <c r="G47" s="169"/>
      <c r="H47" s="169"/>
      <c r="I47" s="169"/>
      <c r="J47" s="169"/>
      <c r="K47" s="169"/>
      <c r="L47" s="169"/>
      <c r="M47" s="169"/>
      <c r="N47" s="169"/>
      <c r="O47" s="169"/>
      <c r="P47" s="169"/>
    </row>
    <row r="48" spans="1:17" ht="66.75" customHeight="1">
      <c r="A48" s="158"/>
      <c r="B48" s="345" t="str">
        <f>'Форма ввода'!C24</f>
        <v>(Выпадающий список)</v>
      </c>
      <c r="C48" s="345"/>
      <c r="D48" s="345"/>
      <c r="E48" s="345"/>
      <c r="F48" s="345"/>
      <c r="G48" s="345"/>
      <c r="H48" s="345"/>
      <c r="I48" s="345"/>
      <c r="J48" s="345"/>
      <c r="K48" s="345"/>
      <c r="L48" s="345"/>
      <c r="M48" s="345"/>
      <c r="N48" s="345"/>
      <c r="O48" s="345"/>
      <c r="P48" s="345"/>
    </row>
    <row r="49" spans="1:16" ht="42.75" customHeight="1">
      <c r="A49" s="158" t="s">
        <v>22</v>
      </c>
      <c r="B49" s="159" t="s">
        <v>23</v>
      </c>
      <c r="C49" s="159"/>
      <c r="D49" s="159"/>
      <c r="E49" s="159"/>
      <c r="F49" s="159"/>
      <c r="G49" s="159"/>
      <c r="H49" s="159"/>
      <c r="I49" s="159"/>
      <c r="J49" s="159"/>
      <c r="K49" s="159"/>
      <c r="L49" s="159"/>
      <c r="M49" s="159"/>
      <c r="N49" s="159"/>
      <c r="O49" s="159"/>
      <c r="P49" s="159"/>
    </row>
    <row r="50" spans="1:16" ht="42.75" customHeight="1">
      <c r="A50" s="161" t="s">
        <v>24</v>
      </c>
      <c r="B50" s="318" t="str">
        <f>IF('Форма ввода'!C14="руб.","Оплата Товара производится в рублях.",CONCATENATE("Оплата Товара производится ",'Форма ввода'!C32))</f>
        <v>Оплата Товара производится в рублях.</v>
      </c>
      <c r="C50" s="318"/>
      <c r="D50" s="318"/>
      <c r="E50" s="318"/>
      <c r="F50" s="318"/>
      <c r="G50" s="318"/>
      <c r="H50" s="318"/>
      <c r="I50" s="318"/>
      <c r="J50" s="318"/>
      <c r="K50" s="318"/>
      <c r="L50" s="318"/>
      <c r="M50" s="318"/>
      <c r="N50" s="318"/>
      <c r="O50" s="318"/>
      <c r="P50" s="318"/>
    </row>
    <row r="51" spans="1:16" ht="186.75" customHeight="1">
      <c r="A51" s="161" t="s">
        <v>25</v>
      </c>
      <c r="B51" s="337" t="str">
        <f ca="1">IF(OR('Форма ввода'!C40="(Выпадающий список)",'Форма ввода'!C40=""),'Форма ввода'!C34,'Форма ввода'!C41)</f>
        <v>Выберите порядок оплаты</v>
      </c>
      <c r="C51" s="337"/>
      <c r="D51" s="337"/>
      <c r="E51" s="337"/>
      <c r="F51" s="337"/>
      <c r="G51" s="337"/>
      <c r="H51" s="337"/>
      <c r="I51" s="337"/>
      <c r="J51" s="337"/>
      <c r="K51" s="337"/>
      <c r="L51" s="337"/>
      <c r="M51" s="337"/>
      <c r="N51" s="337"/>
      <c r="O51" s="337"/>
      <c r="P51" s="337"/>
    </row>
    <row r="52" spans="1:16" ht="39.75" hidden="1" customHeight="1">
      <c r="A52" s="161"/>
      <c r="B52" s="337"/>
      <c r="C52" s="337"/>
      <c r="D52" s="337"/>
      <c r="E52" s="337"/>
      <c r="F52" s="337"/>
      <c r="G52" s="337"/>
      <c r="H52" s="337"/>
      <c r="I52" s="337"/>
      <c r="J52" s="337"/>
      <c r="K52" s="337"/>
      <c r="L52" s="337"/>
      <c r="M52" s="337"/>
      <c r="N52" s="337"/>
      <c r="O52" s="337"/>
      <c r="P52" s="337"/>
    </row>
    <row r="53" spans="1:16" ht="36" customHeight="1">
      <c r="A53" s="158" t="s">
        <v>26</v>
      </c>
      <c r="B53" s="338" t="s">
        <v>27</v>
      </c>
      <c r="C53" s="339"/>
      <c r="D53" s="339"/>
      <c r="E53" s="339"/>
      <c r="F53" s="339"/>
      <c r="G53" s="339"/>
      <c r="H53" s="339"/>
      <c r="I53" s="339"/>
      <c r="J53" s="339"/>
      <c r="K53" s="339"/>
      <c r="L53" s="339"/>
      <c r="M53" s="339"/>
      <c r="N53" s="339"/>
      <c r="O53" s="339"/>
      <c r="P53" s="339"/>
    </row>
    <row r="54" spans="1:16" ht="143.85" customHeight="1">
      <c r="A54" s="158"/>
      <c r="B54" s="332">
        <f>'Форма ввода'!C49</f>
        <v>0</v>
      </c>
      <c r="C54" s="332"/>
      <c r="D54" s="332"/>
      <c r="E54" s="332"/>
      <c r="F54" s="332"/>
      <c r="G54" s="332"/>
      <c r="H54" s="332"/>
      <c r="I54" s="332"/>
      <c r="J54" s="332"/>
      <c r="K54" s="332"/>
      <c r="L54" s="332"/>
      <c r="M54" s="332"/>
      <c r="N54" s="332"/>
      <c r="O54" s="332"/>
      <c r="P54" s="332"/>
    </row>
    <row r="55" spans="1:16" ht="30">
      <c r="A55" s="158" t="s">
        <v>28</v>
      </c>
      <c r="B55" s="329" t="s">
        <v>29</v>
      </c>
      <c r="C55" s="329"/>
      <c r="D55" s="329"/>
      <c r="E55" s="329"/>
      <c r="F55" s="329"/>
      <c r="G55" s="329"/>
      <c r="H55" s="329"/>
      <c r="I55" s="329"/>
      <c r="J55" s="329"/>
      <c r="K55" s="329"/>
      <c r="L55" s="329"/>
      <c r="M55" s="329"/>
      <c r="N55" s="329"/>
      <c r="O55" s="329"/>
      <c r="P55" s="329"/>
    </row>
    <row r="56" spans="1:16" ht="120.75" customHeight="1">
      <c r="A56" s="158"/>
      <c r="B56" s="340" t="str">
        <f>'Форма ввода'!C53</f>
        <v>Срок годности поставляемого по настоящему Дополнительному соглашению Товара указывается в сертификате качества и должен составлять не менее (Выпадающий список) с даты поставки Товара.</v>
      </c>
      <c r="C56" s="340"/>
      <c r="D56" s="340"/>
      <c r="E56" s="340"/>
      <c r="F56" s="340"/>
      <c r="G56" s="340"/>
      <c r="H56" s="340"/>
      <c r="I56" s="340"/>
      <c r="J56" s="340"/>
      <c r="K56" s="340"/>
      <c r="L56" s="340"/>
      <c r="M56" s="340"/>
      <c r="N56" s="340"/>
      <c r="O56" s="340"/>
      <c r="P56" s="340"/>
    </row>
    <row r="57" spans="1:16" ht="30.6">
      <c r="A57" s="158" t="s">
        <v>30</v>
      </c>
      <c r="B57" s="329" t="s">
        <v>31</v>
      </c>
      <c r="C57" s="318"/>
      <c r="D57" s="318"/>
      <c r="E57" s="318"/>
      <c r="F57" s="318"/>
      <c r="G57" s="318"/>
      <c r="H57" s="318"/>
      <c r="I57" s="318"/>
      <c r="J57" s="318"/>
      <c r="K57" s="318"/>
      <c r="L57" s="318"/>
      <c r="M57" s="318"/>
      <c r="N57" s="318"/>
      <c r="O57" s="318"/>
      <c r="P57" s="318"/>
    </row>
    <row r="58" spans="1:16" ht="89.85" customHeight="1">
      <c r="A58" s="158"/>
      <c r="B58" s="340" t="str">
        <f>'Форма ввода'!C29</f>
        <v xml:space="preserve">Дата, указанная в Акте приема-передачи Товара, оформленным между Поставщиком (Грузоотправителем) и Грузополучателем и подписанным уполномоченными представителями Сторон. </v>
      </c>
      <c r="C58" s="340"/>
      <c r="D58" s="340"/>
      <c r="E58" s="340"/>
      <c r="F58" s="340"/>
      <c r="G58" s="340"/>
      <c r="H58" s="340"/>
      <c r="I58" s="340"/>
      <c r="J58" s="340"/>
      <c r="K58" s="340"/>
      <c r="L58" s="340"/>
      <c r="M58" s="340"/>
      <c r="N58" s="340"/>
      <c r="O58" s="340"/>
      <c r="P58" s="340"/>
    </row>
    <row r="59" spans="1:16" ht="99" customHeight="1">
      <c r="A59" s="158" t="s">
        <v>32</v>
      </c>
      <c r="B59" s="318" t="s">
        <v>33</v>
      </c>
      <c r="C59" s="318"/>
      <c r="D59" s="318"/>
      <c r="E59" s="318"/>
      <c r="F59" s="318"/>
      <c r="G59" s="318"/>
      <c r="H59" s="318"/>
      <c r="I59" s="318"/>
      <c r="J59" s="318"/>
      <c r="K59" s="318"/>
      <c r="L59" s="318"/>
      <c r="M59" s="318"/>
      <c r="N59" s="318"/>
      <c r="O59" s="318"/>
      <c r="P59" s="318"/>
    </row>
    <row r="60" spans="1:16" ht="41.25" customHeight="1">
      <c r="A60" s="162" t="s">
        <v>34</v>
      </c>
      <c r="B60" s="318" t="str">
        <f>CONCATENATE("со стороны Поставщика: ",'Форма ввода'!C15)</f>
        <v xml:space="preserve">со стороны Поставщика: </v>
      </c>
      <c r="C60" s="318"/>
      <c r="D60" s="318"/>
      <c r="E60" s="318"/>
      <c r="F60" s="318"/>
      <c r="G60" s="318"/>
      <c r="H60" s="318"/>
      <c r="I60" s="318"/>
      <c r="J60" s="318"/>
      <c r="K60" s="318"/>
      <c r="L60" s="318"/>
      <c r="M60" s="318"/>
      <c r="N60" s="318"/>
      <c r="O60" s="318"/>
      <c r="P60" s="318"/>
    </row>
    <row r="61" spans="1:16" ht="48.75" customHeight="1">
      <c r="A61" s="162" t="s">
        <v>34</v>
      </c>
      <c r="B61" s="318" t="str">
        <f>CONCATENATE("со стороны Покупателя: ",'Форма ввода'!C16)</f>
        <v xml:space="preserve">со стороны Покупателя: </v>
      </c>
      <c r="C61" s="318"/>
      <c r="D61" s="318"/>
      <c r="E61" s="318"/>
      <c r="F61" s="318"/>
      <c r="G61" s="318"/>
      <c r="H61" s="318"/>
      <c r="I61" s="318"/>
      <c r="J61" s="318"/>
      <c r="K61" s="318"/>
      <c r="L61" s="318"/>
      <c r="M61" s="318"/>
      <c r="N61" s="318"/>
      <c r="O61" s="318"/>
      <c r="P61" s="318"/>
    </row>
    <row r="62" spans="1:16" ht="321.75" customHeight="1">
      <c r="A62" s="158" t="s">
        <v>35</v>
      </c>
      <c r="B62" s="347" t="str">
        <f>IF('Форма ввода'!C55="нет","Скройте п.11",IF('Форма ввода'!C55="нет","В случае поставки Товара по истечении срока, указанного в п.5 настоящего дополнительного соглашения, Покупатель вправе принять Товар."&amp;" ",
"При поставке Товара в Срок, установленный в п.5 настоящего дополнительного соглашения, цена на Товар устанавливается в размере согласно п.1 настоящего дополнительного соглашения."&amp;"
В случае поставки Товара по истечении срока, указанного в п.5 настоящего дополнительного соглашения, Покупатель вправе по своему усмотрению  принять Товар,"&amp;" на условиях установленных в  п.12 настоящего дополнительного соглашения."&amp;"
Поставщик обязан сообщить Покупателю и грузополучателю за 3 (три) рабочих дня до даты отгрузки Товара (по факсимильной связи, электронной почте) наименование, количество отгружаемого Товара и дату отгрузки."))</f>
        <v>При поставке Товара в Срок, установленный в п.5 настоящего дополнительного соглашения, цена на Товар устанавливается в размере согласно п.1 настоящего дополнительного соглашения.
В случае поставки Товара по истечении срока, указанного в п.5 настоящего дополнительного соглашения, Покупатель вправе по своему усмотрению  принять Товар, на условиях установленных в  п.12 настоящего дополнительного соглашения.
Поставщик обязан сообщить Покупателю и грузополучателю за 3 (три) рабочих дня до даты отгрузки Товара (по факсимильной связи, электронной почте) наименование, количество отгружаемого Товара и дату отгрузки.</v>
      </c>
      <c r="C62" s="347"/>
      <c r="D62" s="347"/>
      <c r="E62" s="347"/>
      <c r="F62" s="347"/>
      <c r="G62" s="347"/>
      <c r="H62" s="347"/>
      <c r="I62" s="347"/>
      <c r="J62" s="347"/>
      <c r="K62" s="347"/>
      <c r="L62" s="347"/>
      <c r="M62" s="347"/>
      <c r="N62" s="347"/>
      <c r="O62" s="347"/>
      <c r="P62" s="347"/>
    </row>
    <row r="63" spans="1:16" ht="83.25" customHeight="1">
      <c r="A63" s="163" t="s">
        <v>36</v>
      </c>
      <c r="B63" s="327" t="str">
        <f>IF('Форма ввода'!C55="нет","Скройте пункт 12, 12.1, 12.2, 12.3.","В случае, если Покупатель принял решение принять Товар, поставленный по истечении срока, установленного в п.5 настоящего дополнительного соглашения, то цена Товара, поставленного по истечении указанного срока поставки, устанавливается в размере:")</f>
        <v>В случае, если Покупатель принял решение принять Товар, поставленный по истечении срока, установленного в п.5 настоящего дополнительного соглашения, то цена Товара, поставленного по истечении указанного срока поставки, устанавливается в размере:</v>
      </c>
      <c r="C63" s="327"/>
      <c r="D63" s="327"/>
      <c r="E63" s="327"/>
      <c r="F63" s="327"/>
      <c r="G63" s="327"/>
      <c r="H63" s="327"/>
      <c r="I63" s="327"/>
      <c r="J63" s="327"/>
      <c r="K63" s="327"/>
      <c r="L63" s="327"/>
      <c r="M63" s="327"/>
      <c r="N63" s="327"/>
      <c r="O63" s="327"/>
      <c r="P63" s="327"/>
    </row>
    <row r="64" spans="1:16" s="80" customFormat="1" ht="77.25" customHeight="1">
      <c r="A64" s="163" t="s">
        <v>37</v>
      </c>
      <c r="B64" s="331" t="s">
        <v>38</v>
      </c>
      <c r="C64" s="331"/>
      <c r="D64" s="331"/>
      <c r="E64" s="331"/>
      <c r="F64" s="331"/>
      <c r="G64" s="331"/>
      <c r="H64" s="331"/>
      <c r="I64" s="331"/>
      <c r="J64" s="331"/>
      <c r="K64" s="331"/>
      <c r="L64" s="331"/>
      <c r="M64" s="331"/>
      <c r="N64" s="331"/>
      <c r="O64" s="330"/>
      <c r="P64" s="330"/>
    </row>
    <row r="65" spans="1:16" s="83" customFormat="1" ht="90">
      <c r="A65" s="82" t="str">
        <f t="shared" ref="A65:N65" si="4">A9</f>
        <v>№ п/п</v>
      </c>
      <c r="B65" s="82" t="str">
        <f t="shared" si="4"/>
        <v>Наименование Товара Поставщика</v>
      </c>
      <c r="C65" s="82" t="str">
        <f t="shared" si="4"/>
        <v>ГОСТ, ТУ,CAS</v>
      </c>
      <c r="D65" s="82" t="str">
        <f t="shared" si="4"/>
        <v>Наименование Товара для отражения в учетных системах Покупателя</v>
      </c>
      <c r="E65" s="82" t="str">
        <f t="shared" si="4"/>
        <v>Код АСВ НСИ</v>
      </c>
      <c r="F65" s="82" t="str">
        <f t="shared" si="4"/>
        <v>Ед. изм.</v>
      </c>
      <c r="G65" s="82" t="str">
        <f t="shared" si="4"/>
        <v>Производитель</v>
      </c>
      <c r="H65" s="82" t="str">
        <f t="shared" si="4"/>
        <v>Страна происхождения</v>
      </c>
      <c r="I65" s="82" t="str">
        <f t="shared" si="4"/>
        <v>Кол-во</v>
      </c>
      <c r="J65" s="82" t="str">
        <f t="shared" si="4"/>
        <v>Цена за единицу измерения без НДС, руб.</v>
      </c>
      <c r="K65" s="82" t="str">
        <f t="shared" si="4"/>
        <v>Стоимость без учета НДС, руб.</v>
      </c>
      <c r="L65" s="82" t="str">
        <f t="shared" si="4"/>
        <v>Ставка НДС,%</v>
      </c>
      <c r="M65" s="82" t="str">
        <f t="shared" si="4"/>
        <v>Сумма НДС руб.</v>
      </c>
      <c r="N65" s="82" t="str">
        <f t="shared" si="4"/>
        <v>Стоимость с учетом НДС, руб.</v>
      </c>
      <c r="O65" s="108"/>
      <c r="P65" s="109"/>
    </row>
    <row r="66" spans="1:16" s="83" customFormat="1">
      <c r="A66" s="110">
        <f t="shared" ref="A66:I66" si="5">A10</f>
        <v>1</v>
      </c>
      <c r="B66" s="111">
        <f t="shared" si="5"/>
        <v>0</v>
      </c>
      <c r="C66" s="111">
        <f t="shared" si="5"/>
        <v>0</v>
      </c>
      <c r="D66" s="111">
        <f t="shared" si="5"/>
        <v>0</v>
      </c>
      <c r="E66" s="111">
        <f t="shared" si="5"/>
        <v>0</v>
      </c>
      <c r="F66" s="111">
        <f t="shared" si="5"/>
        <v>0</v>
      </c>
      <c r="G66" s="111">
        <f t="shared" si="5"/>
        <v>0</v>
      </c>
      <c r="H66" s="111">
        <f t="shared" si="5"/>
        <v>0</v>
      </c>
      <c r="I66" s="112">
        <f t="shared" si="5"/>
        <v>0</v>
      </c>
      <c r="J66" s="113">
        <f>J10*(1-'Форма ввода'!$C$56)</f>
        <v>0</v>
      </c>
      <c r="K66" s="90">
        <f>ROUND(I66*J66,2)</f>
        <v>0</v>
      </c>
      <c r="L66" s="114">
        <f t="shared" ref="L66:L90" si="6">L10</f>
        <v>0</v>
      </c>
      <c r="M66" s="90">
        <f>IF(L66="Без НДС",0,ROUND(K66*L66,2))</f>
        <v>0</v>
      </c>
      <c r="N66" s="90">
        <f>M66+K66</f>
        <v>0</v>
      </c>
      <c r="O66" s="115"/>
      <c r="P66" s="116"/>
    </row>
    <row r="67" spans="1:16" s="83" customFormat="1">
      <c r="A67" s="110">
        <f t="shared" ref="A67:I67" si="7">A11</f>
        <v>2</v>
      </c>
      <c r="B67" s="111">
        <f t="shared" si="7"/>
        <v>0</v>
      </c>
      <c r="C67" s="111">
        <f t="shared" si="7"/>
        <v>0</v>
      </c>
      <c r="D67" s="111">
        <f t="shared" si="7"/>
        <v>0</v>
      </c>
      <c r="E67" s="111">
        <f t="shared" si="7"/>
        <v>0</v>
      </c>
      <c r="F67" s="111">
        <f t="shared" si="7"/>
        <v>0</v>
      </c>
      <c r="G67" s="111">
        <f t="shared" si="7"/>
        <v>0</v>
      </c>
      <c r="H67" s="111">
        <f t="shared" si="7"/>
        <v>0</v>
      </c>
      <c r="I67" s="112">
        <f t="shared" si="7"/>
        <v>0</v>
      </c>
      <c r="J67" s="113">
        <f>J11*(1-'Форма ввода'!$C$56)</f>
        <v>0</v>
      </c>
      <c r="K67" s="90">
        <f t="shared" ref="K67:K90" si="8">ROUND(I67*J67,2)</f>
        <v>0</v>
      </c>
      <c r="L67" s="114">
        <f t="shared" si="6"/>
        <v>0</v>
      </c>
      <c r="M67" s="90">
        <f t="shared" ref="M67:M90" si="9">IF(L67="Без НДС",0,ROUND(K67*L67,2))</f>
        <v>0</v>
      </c>
      <c r="N67" s="90">
        <f t="shared" ref="N67:N90" si="10">M67+K67</f>
        <v>0</v>
      </c>
      <c r="O67" s="115"/>
      <c r="P67" s="116"/>
    </row>
    <row r="68" spans="1:16" s="83" customFormat="1">
      <c r="A68" s="110">
        <f t="shared" ref="A68:I68" si="11">A12</f>
        <v>3</v>
      </c>
      <c r="B68" s="111">
        <f t="shared" si="11"/>
        <v>0</v>
      </c>
      <c r="C68" s="111">
        <f t="shared" si="11"/>
        <v>0</v>
      </c>
      <c r="D68" s="111">
        <f t="shared" si="11"/>
        <v>0</v>
      </c>
      <c r="E68" s="111">
        <f t="shared" si="11"/>
        <v>0</v>
      </c>
      <c r="F68" s="111">
        <f t="shared" si="11"/>
        <v>0</v>
      </c>
      <c r="G68" s="111">
        <f t="shared" si="11"/>
        <v>0</v>
      </c>
      <c r="H68" s="111">
        <f t="shared" si="11"/>
        <v>0</v>
      </c>
      <c r="I68" s="112">
        <f t="shared" si="11"/>
        <v>0</v>
      </c>
      <c r="J68" s="113">
        <f>J12*(1-'Форма ввода'!$C$56)</f>
        <v>0</v>
      </c>
      <c r="K68" s="90">
        <f t="shared" si="8"/>
        <v>0</v>
      </c>
      <c r="L68" s="114">
        <f t="shared" si="6"/>
        <v>0</v>
      </c>
      <c r="M68" s="90">
        <f t="shared" si="9"/>
        <v>0</v>
      </c>
      <c r="N68" s="90">
        <f t="shared" si="10"/>
        <v>0</v>
      </c>
      <c r="O68" s="115"/>
      <c r="P68" s="116"/>
    </row>
    <row r="69" spans="1:16" s="83" customFormat="1">
      <c r="A69" s="110">
        <f t="shared" ref="A69:I69" si="12">A13</f>
        <v>4</v>
      </c>
      <c r="B69" s="111">
        <f t="shared" si="12"/>
        <v>0</v>
      </c>
      <c r="C69" s="111">
        <f t="shared" si="12"/>
        <v>0</v>
      </c>
      <c r="D69" s="111">
        <f t="shared" si="12"/>
        <v>0</v>
      </c>
      <c r="E69" s="111">
        <f t="shared" si="12"/>
        <v>0</v>
      </c>
      <c r="F69" s="111">
        <f t="shared" si="12"/>
        <v>0</v>
      </c>
      <c r="G69" s="111">
        <f t="shared" si="12"/>
        <v>0</v>
      </c>
      <c r="H69" s="111">
        <f t="shared" si="12"/>
        <v>0</v>
      </c>
      <c r="I69" s="112">
        <f t="shared" si="12"/>
        <v>0</v>
      </c>
      <c r="J69" s="113">
        <f>J13*(1-'Форма ввода'!$C$56)</f>
        <v>0</v>
      </c>
      <c r="K69" s="90">
        <f t="shared" si="8"/>
        <v>0</v>
      </c>
      <c r="L69" s="114">
        <f t="shared" si="6"/>
        <v>0</v>
      </c>
      <c r="M69" s="90">
        <f t="shared" si="9"/>
        <v>0</v>
      </c>
      <c r="N69" s="90">
        <f t="shared" si="10"/>
        <v>0</v>
      </c>
      <c r="O69" s="115"/>
      <c r="P69" s="116"/>
    </row>
    <row r="70" spans="1:16" s="83" customFormat="1">
      <c r="A70" s="110">
        <f t="shared" ref="A70:I70" si="13">A14</f>
        <v>5</v>
      </c>
      <c r="B70" s="111">
        <f t="shared" si="13"/>
        <v>0</v>
      </c>
      <c r="C70" s="111">
        <f t="shared" si="13"/>
        <v>0</v>
      </c>
      <c r="D70" s="111">
        <f t="shared" si="13"/>
        <v>0</v>
      </c>
      <c r="E70" s="111">
        <f t="shared" si="13"/>
        <v>0</v>
      </c>
      <c r="F70" s="111">
        <f t="shared" si="13"/>
        <v>0</v>
      </c>
      <c r="G70" s="111">
        <f t="shared" si="13"/>
        <v>0</v>
      </c>
      <c r="H70" s="111">
        <f t="shared" si="13"/>
        <v>0</v>
      </c>
      <c r="I70" s="112">
        <f t="shared" si="13"/>
        <v>0</v>
      </c>
      <c r="J70" s="113">
        <f>J14*(1-'Форма ввода'!$C$56)</f>
        <v>0</v>
      </c>
      <c r="K70" s="90">
        <f t="shared" si="8"/>
        <v>0</v>
      </c>
      <c r="L70" s="114">
        <f t="shared" si="6"/>
        <v>0</v>
      </c>
      <c r="M70" s="90">
        <f t="shared" si="9"/>
        <v>0</v>
      </c>
      <c r="N70" s="90">
        <f t="shared" si="10"/>
        <v>0</v>
      </c>
      <c r="O70" s="115"/>
      <c r="P70" s="116"/>
    </row>
    <row r="71" spans="1:16" s="83" customFormat="1">
      <c r="A71" s="110">
        <f t="shared" ref="A71:I71" si="14">A15</f>
        <v>6</v>
      </c>
      <c r="B71" s="111">
        <f t="shared" si="14"/>
        <v>0</v>
      </c>
      <c r="C71" s="111">
        <f t="shared" si="14"/>
        <v>0</v>
      </c>
      <c r="D71" s="111">
        <f t="shared" si="14"/>
        <v>0</v>
      </c>
      <c r="E71" s="111">
        <f t="shared" si="14"/>
        <v>0</v>
      </c>
      <c r="F71" s="111">
        <f t="shared" si="14"/>
        <v>0</v>
      </c>
      <c r="G71" s="111">
        <f t="shared" si="14"/>
        <v>0</v>
      </c>
      <c r="H71" s="111">
        <f t="shared" si="14"/>
        <v>0</v>
      </c>
      <c r="I71" s="112">
        <f t="shared" si="14"/>
        <v>0</v>
      </c>
      <c r="J71" s="113">
        <f>J15*(1-'Форма ввода'!$C$56)</f>
        <v>0</v>
      </c>
      <c r="K71" s="90">
        <f t="shared" si="8"/>
        <v>0</v>
      </c>
      <c r="L71" s="114">
        <f t="shared" si="6"/>
        <v>0</v>
      </c>
      <c r="M71" s="90">
        <f t="shared" si="9"/>
        <v>0</v>
      </c>
      <c r="N71" s="90">
        <f t="shared" si="10"/>
        <v>0</v>
      </c>
      <c r="O71" s="115"/>
      <c r="P71" s="116"/>
    </row>
    <row r="72" spans="1:16" s="83" customFormat="1">
      <c r="A72" s="110">
        <f t="shared" ref="A72:I72" si="15">A16</f>
        <v>7</v>
      </c>
      <c r="B72" s="111">
        <f t="shared" si="15"/>
        <v>0</v>
      </c>
      <c r="C72" s="111">
        <f t="shared" si="15"/>
        <v>0</v>
      </c>
      <c r="D72" s="111">
        <f t="shared" si="15"/>
        <v>0</v>
      </c>
      <c r="E72" s="111">
        <f t="shared" si="15"/>
        <v>0</v>
      </c>
      <c r="F72" s="111">
        <f t="shared" si="15"/>
        <v>0</v>
      </c>
      <c r="G72" s="111">
        <f t="shared" si="15"/>
        <v>0</v>
      </c>
      <c r="H72" s="111">
        <f t="shared" si="15"/>
        <v>0</v>
      </c>
      <c r="I72" s="112">
        <f t="shared" si="15"/>
        <v>0</v>
      </c>
      <c r="J72" s="113">
        <f>J16*(1-'Форма ввода'!$C$56)</f>
        <v>0</v>
      </c>
      <c r="K72" s="90">
        <f t="shared" si="8"/>
        <v>0</v>
      </c>
      <c r="L72" s="114">
        <f t="shared" si="6"/>
        <v>0</v>
      </c>
      <c r="M72" s="90">
        <f t="shared" si="9"/>
        <v>0</v>
      </c>
      <c r="N72" s="90">
        <f t="shared" si="10"/>
        <v>0</v>
      </c>
      <c r="O72" s="115"/>
      <c r="P72" s="116"/>
    </row>
    <row r="73" spans="1:16" s="83" customFormat="1">
      <c r="A73" s="110">
        <f t="shared" ref="A73:I73" si="16">A17</f>
        <v>8</v>
      </c>
      <c r="B73" s="111">
        <f t="shared" si="16"/>
        <v>0</v>
      </c>
      <c r="C73" s="111">
        <f t="shared" si="16"/>
        <v>0</v>
      </c>
      <c r="D73" s="111">
        <f t="shared" si="16"/>
        <v>0</v>
      </c>
      <c r="E73" s="111">
        <f t="shared" si="16"/>
        <v>0</v>
      </c>
      <c r="F73" s="111">
        <f t="shared" si="16"/>
        <v>0</v>
      </c>
      <c r="G73" s="111">
        <f t="shared" si="16"/>
        <v>0</v>
      </c>
      <c r="H73" s="111">
        <f t="shared" si="16"/>
        <v>0</v>
      </c>
      <c r="I73" s="112">
        <f t="shared" si="16"/>
        <v>0</v>
      </c>
      <c r="J73" s="113">
        <f>J17*(1-'Форма ввода'!$C$56)</f>
        <v>0</v>
      </c>
      <c r="K73" s="90">
        <f t="shared" si="8"/>
        <v>0</v>
      </c>
      <c r="L73" s="114">
        <f t="shared" si="6"/>
        <v>0</v>
      </c>
      <c r="M73" s="90">
        <f t="shared" si="9"/>
        <v>0</v>
      </c>
      <c r="N73" s="90">
        <f t="shared" si="10"/>
        <v>0</v>
      </c>
      <c r="O73" s="115"/>
      <c r="P73" s="116"/>
    </row>
    <row r="74" spans="1:16" s="83" customFormat="1">
      <c r="A74" s="110">
        <f t="shared" ref="A74:I74" si="17">A18</f>
        <v>9</v>
      </c>
      <c r="B74" s="111">
        <f t="shared" si="17"/>
        <v>0</v>
      </c>
      <c r="C74" s="111">
        <f t="shared" si="17"/>
        <v>0</v>
      </c>
      <c r="D74" s="111">
        <f t="shared" si="17"/>
        <v>0</v>
      </c>
      <c r="E74" s="111">
        <f t="shared" si="17"/>
        <v>0</v>
      </c>
      <c r="F74" s="111">
        <f t="shared" si="17"/>
        <v>0</v>
      </c>
      <c r="G74" s="111">
        <f t="shared" si="17"/>
        <v>0</v>
      </c>
      <c r="H74" s="111">
        <f t="shared" si="17"/>
        <v>0</v>
      </c>
      <c r="I74" s="112">
        <f t="shared" si="17"/>
        <v>0</v>
      </c>
      <c r="J74" s="113">
        <f>J18*(1-'Форма ввода'!$C$56)</f>
        <v>0</v>
      </c>
      <c r="K74" s="90">
        <f t="shared" si="8"/>
        <v>0</v>
      </c>
      <c r="L74" s="114">
        <f t="shared" si="6"/>
        <v>0</v>
      </c>
      <c r="M74" s="90">
        <f t="shared" si="9"/>
        <v>0</v>
      </c>
      <c r="N74" s="90">
        <f t="shared" si="10"/>
        <v>0</v>
      </c>
      <c r="O74" s="115"/>
      <c r="P74" s="116"/>
    </row>
    <row r="75" spans="1:16" s="83" customFormat="1">
      <c r="A75" s="110">
        <f t="shared" ref="A75:I75" si="18">A19</f>
        <v>10</v>
      </c>
      <c r="B75" s="111">
        <f t="shared" si="18"/>
        <v>0</v>
      </c>
      <c r="C75" s="111">
        <f t="shared" si="18"/>
        <v>0</v>
      </c>
      <c r="D75" s="111">
        <f t="shared" si="18"/>
        <v>0</v>
      </c>
      <c r="E75" s="111">
        <f t="shared" si="18"/>
        <v>0</v>
      </c>
      <c r="F75" s="111">
        <f t="shared" si="18"/>
        <v>0</v>
      </c>
      <c r="G75" s="111">
        <f t="shared" si="18"/>
        <v>0</v>
      </c>
      <c r="H75" s="111">
        <f t="shared" si="18"/>
        <v>0</v>
      </c>
      <c r="I75" s="112">
        <f t="shared" si="18"/>
        <v>0</v>
      </c>
      <c r="J75" s="113">
        <f>J19*(1-'Форма ввода'!$C$56)</f>
        <v>0</v>
      </c>
      <c r="K75" s="90">
        <f t="shared" si="8"/>
        <v>0</v>
      </c>
      <c r="L75" s="114">
        <f t="shared" si="6"/>
        <v>0</v>
      </c>
      <c r="M75" s="90">
        <f t="shared" si="9"/>
        <v>0</v>
      </c>
      <c r="N75" s="90">
        <f t="shared" si="10"/>
        <v>0</v>
      </c>
      <c r="O75" s="115"/>
      <c r="P75" s="116"/>
    </row>
    <row r="76" spans="1:16" s="83" customFormat="1">
      <c r="A76" s="110">
        <f t="shared" ref="A76:I76" si="19">A20</f>
        <v>11</v>
      </c>
      <c r="B76" s="111">
        <f t="shared" si="19"/>
        <v>0</v>
      </c>
      <c r="C76" s="111">
        <f t="shared" si="19"/>
        <v>0</v>
      </c>
      <c r="D76" s="111">
        <f t="shared" si="19"/>
        <v>0</v>
      </c>
      <c r="E76" s="111">
        <f t="shared" si="19"/>
        <v>0</v>
      </c>
      <c r="F76" s="111">
        <f t="shared" si="19"/>
        <v>0</v>
      </c>
      <c r="G76" s="111">
        <f t="shared" si="19"/>
        <v>0</v>
      </c>
      <c r="H76" s="111">
        <f t="shared" si="19"/>
        <v>0</v>
      </c>
      <c r="I76" s="112">
        <f t="shared" si="19"/>
        <v>0</v>
      </c>
      <c r="J76" s="113">
        <f>J20*(1-'Форма ввода'!$C$56)</f>
        <v>0</v>
      </c>
      <c r="K76" s="90">
        <f t="shared" si="8"/>
        <v>0</v>
      </c>
      <c r="L76" s="114">
        <f t="shared" si="6"/>
        <v>0</v>
      </c>
      <c r="M76" s="90">
        <f t="shared" si="9"/>
        <v>0</v>
      </c>
      <c r="N76" s="90">
        <f t="shared" si="10"/>
        <v>0</v>
      </c>
      <c r="O76" s="115"/>
      <c r="P76" s="116"/>
    </row>
    <row r="77" spans="1:16" s="83" customFormat="1">
      <c r="A77" s="110">
        <f t="shared" ref="A77:I77" si="20">A21</f>
        <v>12</v>
      </c>
      <c r="B77" s="111">
        <f t="shared" si="20"/>
        <v>0</v>
      </c>
      <c r="C77" s="111">
        <f t="shared" si="20"/>
        <v>0</v>
      </c>
      <c r="D77" s="111">
        <f t="shared" si="20"/>
        <v>0</v>
      </c>
      <c r="E77" s="111">
        <f t="shared" si="20"/>
        <v>0</v>
      </c>
      <c r="F77" s="111">
        <f t="shared" si="20"/>
        <v>0</v>
      </c>
      <c r="G77" s="111">
        <f t="shared" si="20"/>
        <v>0</v>
      </c>
      <c r="H77" s="111">
        <f t="shared" si="20"/>
        <v>0</v>
      </c>
      <c r="I77" s="112">
        <f t="shared" si="20"/>
        <v>0</v>
      </c>
      <c r="J77" s="113">
        <f>J21*(1-'Форма ввода'!$C$56)</f>
        <v>0</v>
      </c>
      <c r="K77" s="90">
        <f t="shared" si="8"/>
        <v>0</v>
      </c>
      <c r="L77" s="114">
        <f t="shared" si="6"/>
        <v>0</v>
      </c>
      <c r="M77" s="90">
        <f t="shared" si="9"/>
        <v>0</v>
      </c>
      <c r="N77" s="90">
        <f t="shared" si="10"/>
        <v>0</v>
      </c>
      <c r="O77" s="115"/>
      <c r="P77" s="116"/>
    </row>
    <row r="78" spans="1:16" s="83" customFormat="1">
      <c r="A78" s="110">
        <f t="shared" ref="A78:I78" si="21">A22</f>
        <v>13</v>
      </c>
      <c r="B78" s="111">
        <f t="shared" si="21"/>
        <v>0</v>
      </c>
      <c r="C78" s="111">
        <f t="shared" si="21"/>
        <v>0</v>
      </c>
      <c r="D78" s="111">
        <f t="shared" si="21"/>
        <v>0</v>
      </c>
      <c r="E78" s="111">
        <f t="shared" si="21"/>
        <v>0</v>
      </c>
      <c r="F78" s="111">
        <f t="shared" si="21"/>
        <v>0</v>
      </c>
      <c r="G78" s="111">
        <f t="shared" si="21"/>
        <v>0</v>
      </c>
      <c r="H78" s="111">
        <f t="shared" si="21"/>
        <v>0</v>
      </c>
      <c r="I78" s="112">
        <f t="shared" si="21"/>
        <v>0</v>
      </c>
      <c r="J78" s="113">
        <f>J22*(1-'Форма ввода'!$C$56)</f>
        <v>0</v>
      </c>
      <c r="K78" s="90">
        <f t="shared" si="8"/>
        <v>0</v>
      </c>
      <c r="L78" s="114">
        <f t="shared" si="6"/>
        <v>0</v>
      </c>
      <c r="M78" s="90">
        <f t="shared" si="9"/>
        <v>0</v>
      </c>
      <c r="N78" s="90">
        <f t="shared" si="10"/>
        <v>0</v>
      </c>
      <c r="O78" s="115"/>
      <c r="P78" s="116"/>
    </row>
    <row r="79" spans="1:16" s="83" customFormat="1">
      <c r="A79" s="110">
        <f t="shared" ref="A79:I79" si="22">A23</f>
        <v>14</v>
      </c>
      <c r="B79" s="111">
        <f t="shared" si="22"/>
        <v>0</v>
      </c>
      <c r="C79" s="111">
        <f t="shared" si="22"/>
        <v>0</v>
      </c>
      <c r="D79" s="111">
        <f t="shared" si="22"/>
        <v>0</v>
      </c>
      <c r="E79" s="111">
        <f t="shared" si="22"/>
        <v>0</v>
      </c>
      <c r="F79" s="111">
        <f t="shared" si="22"/>
        <v>0</v>
      </c>
      <c r="G79" s="111">
        <f t="shared" si="22"/>
        <v>0</v>
      </c>
      <c r="H79" s="111">
        <f t="shared" si="22"/>
        <v>0</v>
      </c>
      <c r="I79" s="112">
        <f t="shared" si="22"/>
        <v>0</v>
      </c>
      <c r="J79" s="113">
        <f>J23*(1-'Форма ввода'!$C$56)</f>
        <v>0</v>
      </c>
      <c r="K79" s="90">
        <f t="shared" si="8"/>
        <v>0</v>
      </c>
      <c r="L79" s="114">
        <f t="shared" si="6"/>
        <v>0</v>
      </c>
      <c r="M79" s="90">
        <f t="shared" si="9"/>
        <v>0</v>
      </c>
      <c r="N79" s="90">
        <f t="shared" si="10"/>
        <v>0</v>
      </c>
      <c r="O79" s="115"/>
      <c r="P79" s="116"/>
    </row>
    <row r="80" spans="1:16" s="83" customFormat="1">
      <c r="A80" s="110">
        <f t="shared" ref="A80:I80" si="23">A24</f>
        <v>15</v>
      </c>
      <c r="B80" s="111">
        <f t="shared" si="23"/>
        <v>0</v>
      </c>
      <c r="C80" s="111">
        <f t="shared" si="23"/>
        <v>0</v>
      </c>
      <c r="D80" s="111">
        <f t="shared" si="23"/>
        <v>0</v>
      </c>
      <c r="E80" s="111">
        <f t="shared" si="23"/>
        <v>0</v>
      </c>
      <c r="F80" s="111">
        <f t="shared" si="23"/>
        <v>0</v>
      </c>
      <c r="G80" s="111">
        <f t="shared" si="23"/>
        <v>0</v>
      </c>
      <c r="H80" s="111">
        <f t="shared" si="23"/>
        <v>0</v>
      </c>
      <c r="I80" s="112">
        <f t="shared" si="23"/>
        <v>0</v>
      </c>
      <c r="J80" s="113">
        <f>J24*(1-'Форма ввода'!$C$56)</f>
        <v>0</v>
      </c>
      <c r="K80" s="90">
        <f t="shared" si="8"/>
        <v>0</v>
      </c>
      <c r="L80" s="114">
        <f t="shared" si="6"/>
        <v>0</v>
      </c>
      <c r="M80" s="90">
        <f t="shared" si="9"/>
        <v>0</v>
      </c>
      <c r="N80" s="90">
        <f t="shared" si="10"/>
        <v>0</v>
      </c>
      <c r="O80" s="115"/>
      <c r="P80" s="116"/>
    </row>
    <row r="81" spans="1:16" s="83" customFormat="1">
      <c r="A81" s="110">
        <f t="shared" ref="A81:I81" si="24">A25</f>
        <v>16</v>
      </c>
      <c r="B81" s="111">
        <f t="shared" si="24"/>
        <v>0</v>
      </c>
      <c r="C81" s="111">
        <f t="shared" si="24"/>
        <v>0</v>
      </c>
      <c r="D81" s="111">
        <f t="shared" si="24"/>
        <v>0</v>
      </c>
      <c r="E81" s="111">
        <f t="shared" si="24"/>
        <v>0</v>
      </c>
      <c r="F81" s="111">
        <f t="shared" si="24"/>
        <v>0</v>
      </c>
      <c r="G81" s="111">
        <f t="shared" si="24"/>
        <v>0</v>
      </c>
      <c r="H81" s="111">
        <f t="shared" si="24"/>
        <v>0</v>
      </c>
      <c r="I81" s="112">
        <f t="shared" si="24"/>
        <v>0</v>
      </c>
      <c r="J81" s="113">
        <f>J25*(1-'Форма ввода'!$C$56)</f>
        <v>0</v>
      </c>
      <c r="K81" s="90">
        <f t="shared" si="8"/>
        <v>0</v>
      </c>
      <c r="L81" s="114">
        <f t="shared" si="6"/>
        <v>0</v>
      </c>
      <c r="M81" s="90">
        <f t="shared" si="9"/>
        <v>0</v>
      </c>
      <c r="N81" s="90">
        <f t="shared" si="10"/>
        <v>0</v>
      </c>
      <c r="O81" s="115"/>
      <c r="P81" s="116"/>
    </row>
    <row r="82" spans="1:16" s="83" customFormat="1">
      <c r="A82" s="110">
        <f t="shared" ref="A82:I82" si="25">A26</f>
        <v>17</v>
      </c>
      <c r="B82" s="111">
        <f t="shared" si="25"/>
        <v>0</v>
      </c>
      <c r="C82" s="111">
        <f t="shared" si="25"/>
        <v>0</v>
      </c>
      <c r="D82" s="111">
        <f t="shared" si="25"/>
        <v>0</v>
      </c>
      <c r="E82" s="111">
        <f t="shared" si="25"/>
        <v>0</v>
      </c>
      <c r="F82" s="111">
        <f t="shared" si="25"/>
        <v>0</v>
      </c>
      <c r="G82" s="111">
        <f t="shared" si="25"/>
        <v>0</v>
      </c>
      <c r="H82" s="111">
        <f t="shared" si="25"/>
        <v>0</v>
      </c>
      <c r="I82" s="112">
        <f t="shared" si="25"/>
        <v>0</v>
      </c>
      <c r="J82" s="113">
        <f>J26*(1-'Форма ввода'!$C$56)</f>
        <v>0</v>
      </c>
      <c r="K82" s="90">
        <f t="shared" si="8"/>
        <v>0</v>
      </c>
      <c r="L82" s="114">
        <f t="shared" si="6"/>
        <v>0</v>
      </c>
      <c r="M82" s="90">
        <f t="shared" si="9"/>
        <v>0</v>
      </c>
      <c r="N82" s="90">
        <f t="shared" si="10"/>
        <v>0</v>
      </c>
      <c r="O82" s="115"/>
      <c r="P82" s="116"/>
    </row>
    <row r="83" spans="1:16" s="83" customFormat="1">
      <c r="A83" s="110">
        <f t="shared" ref="A83:I83" si="26">A27</f>
        <v>18</v>
      </c>
      <c r="B83" s="111">
        <f t="shared" si="26"/>
        <v>0</v>
      </c>
      <c r="C83" s="111">
        <f t="shared" si="26"/>
        <v>0</v>
      </c>
      <c r="D83" s="111">
        <f t="shared" si="26"/>
        <v>0</v>
      </c>
      <c r="E83" s="111">
        <f t="shared" si="26"/>
        <v>0</v>
      </c>
      <c r="F83" s="111">
        <f t="shared" si="26"/>
        <v>0</v>
      </c>
      <c r="G83" s="111">
        <f t="shared" si="26"/>
        <v>0</v>
      </c>
      <c r="H83" s="111">
        <f t="shared" si="26"/>
        <v>0</v>
      </c>
      <c r="I83" s="112">
        <f t="shared" si="26"/>
        <v>0</v>
      </c>
      <c r="J83" s="113">
        <f>J27*(1-'Форма ввода'!$C$56)</f>
        <v>0</v>
      </c>
      <c r="K83" s="90">
        <f t="shared" si="8"/>
        <v>0</v>
      </c>
      <c r="L83" s="114">
        <f t="shared" si="6"/>
        <v>0</v>
      </c>
      <c r="M83" s="90">
        <f t="shared" si="9"/>
        <v>0</v>
      </c>
      <c r="N83" s="90">
        <f t="shared" si="10"/>
        <v>0</v>
      </c>
      <c r="O83" s="115"/>
      <c r="P83" s="116"/>
    </row>
    <row r="84" spans="1:16" s="83" customFormat="1">
      <c r="A84" s="110">
        <f t="shared" ref="A84:I84" si="27">A28</f>
        <v>19</v>
      </c>
      <c r="B84" s="111">
        <f t="shared" si="27"/>
        <v>0</v>
      </c>
      <c r="C84" s="111">
        <f t="shared" si="27"/>
        <v>0</v>
      </c>
      <c r="D84" s="111">
        <f t="shared" si="27"/>
        <v>0</v>
      </c>
      <c r="E84" s="111">
        <f t="shared" si="27"/>
        <v>0</v>
      </c>
      <c r="F84" s="111">
        <f t="shared" si="27"/>
        <v>0</v>
      </c>
      <c r="G84" s="111">
        <f t="shared" si="27"/>
        <v>0</v>
      </c>
      <c r="H84" s="111">
        <f t="shared" si="27"/>
        <v>0</v>
      </c>
      <c r="I84" s="112">
        <f t="shared" si="27"/>
        <v>0</v>
      </c>
      <c r="J84" s="113">
        <f>J28*(1-'Форма ввода'!$C$56)</f>
        <v>0</v>
      </c>
      <c r="K84" s="90">
        <f t="shared" si="8"/>
        <v>0</v>
      </c>
      <c r="L84" s="114">
        <f t="shared" si="6"/>
        <v>0</v>
      </c>
      <c r="M84" s="90">
        <f t="shared" si="9"/>
        <v>0</v>
      </c>
      <c r="N84" s="90">
        <f t="shared" si="10"/>
        <v>0</v>
      </c>
      <c r="O84" s="115"/>
      <c r="P84" s="116"/>
    </row>
    <row r="85" spans="1:16" s="83" customFormat="1">
      <c r="A85" s="110">
        <f t="shared" ref="A85:I85" si="28">A29</f>
        <v>20</v>
      </c>
      <c r="B85" s="111">
        <f t="shared" si="28"/>
        <v>0</v>
      </c>
      <c r="C85" s="111">
        <f t="shared" si="28"/>
        <v>0</v>
      </c>
      <c r="D85" s="111">
        <f t="shared" si="28"/>
        <v>0</v>
      </c>
      <c r="E85" s="111">
        <f t="shared" si="28"/>
        <v>0</v>
      </c>
      <c r="F85" s="111">
        <f t="shared" si="28"/>
        <v>0</v>
      </c>
      <c r="G85" s="111">
        <f t="shared" si="28"/>
        <v>0</v>
      </c>
      <c r="H85" s="111">
        <f t="shared" si="28"/>
        <v>0</v>
      </c>
      <c r="I85" s="112">
        <f t="shared" si="28"/>
        <v>0</v>
      </c>
      <c r="J85" s="113">
        <f>J29*(1-'Форма ввода'!$C$56)</f>
        <v>0</v>
      </c>
      <c r="K85" s="90">
        <f t="shared" si="8"/>
        <v>0</v>
      </c>
      <c r="L85" s="114">
        <f t="shared" si="6"/>
        <v>0</v>
      </c>
      <c r="M85" s="90">
        <f t="shared" si="9"/>
        <v>0</v>
      </c>
      <c r="N85" s="90">
        <f t="shared" si="10"/>
        <v>0</v>
      </c>
      <c r="O85" s="115"/>
      <c r="P85" s="116"/>
    </row>
    <row r="86" spans="1:16" s="83" customFormat="1">
      <c r="A86" s="110">
        <f t="shared" ref="A86:I86" si="29">A30</f>
        <v>21</v>
      </c>
      <c r="B86" s="111">
        <f t="shared" si="29"/>
        <v>0</v>
      </c>
      <c r="C86" s="111">
        <f t="shared" si="29"/>
        <v>0</v>
      </c>
      <c r="D86" s="111">
        <f t="shared" si="29"/>
        <v>0</v>
      </c>
      <c r="E86" s="111">
        <f t="shared" si="29"/>
        <v>0</v>
      </c>
      <c r="F86" s="111">
        <f t="shared" si="29"/>
        <v>0</v>
      </c>
      <c r="G86" s="111">
        <f t="shared" si="29"/>
        <v>0</v>
      </c>
      <c r="H86" s="111">
        <f t="shared" si="29"/>
        <v>0</v>
      </c>
      <c r="I86" s="112">
        <f t="shared" si="29"/>
        <v>0</v>
      </c>
      <c r="J86" s="113">
        <f>J30*(1-'Форма ввода'!$C$56)</f>
        <v>0</v>
      </c>
      <c r="K86" s="90">
        <f t="shared" si="8"/>
        <v>0</v>
      </c>
      <c r="L86" s="114">
        <f t="shared" si="6"/>
        <v>0</v>
      </c>
      <c r="M86" s="90">
        <f t="shared" si="9"/>
        <v>0</v>
      </c>
      <c r="N86" s="90">
        <f t="shared" si="10"/>
        <v>0</v>
      </c>
      <c r="O86" s="115"/>
      <c r="P86" s="116"/>
    </row>
    <row r="87" spans="1:16" s="83" customFormat="1">
      <c r="A87" s="110">
        <f t="shared" ref="A87:I87" si="30">A31</f>
        <v>22</v>
      </c>
      <c r="B87" s="111">
        <f t="shared" si="30"/>
        <v>0</v>
      </c>
      <c r="C87" s="111">
        <f t="shared" si="30"/>
        <v>0</v>
      </c>
      <c r="D87" s="111">
        <f t="shared" si="30"/>
        <v>0</v>
      </c>
      <c r="E87" s="111">
        <f t="shared" si="30"/>
        <v>0</v>
      </c>
      <c r="F87" s="111">
        <f t="shared" si="30"/>
        <v>0</v>
      </c>
      <c r="G87" s="111">
        <f t="shared" si="30"/>
        <v>0</v>
      </c>
      <c r="H87" s="111">
        <f t="shared" si="30"/>
        <v>0</v>
      </c>
      <c r="I87" s="112">
        <f t="shared" si="30"/>
        <v>0</v>
      </c>
      <c r="J87" s="113">
        <f>J31*(1-'Форма ввода'!$C$56)</f>
        <v>0</v>
      </c>
      <c r="K87" s="90">
        <f t="shared" si="8"/>
        <v>0</v>
      </c>
      <c r="L87" s="114">
        <f t="shared" si="6"/>
        <v>0</v>
      </c>
      <c r="M87" s="90">
        <f t="shared" si="9"/>
        <v>0</v>
      </c>
      <c r="N87" s="90">
        <f t="shared" si="10"/>
        <v>0</v>
      </c>
      <c r="O87" s="115"/>
      <c r="P87" s="116"/>
    </row>
    <row r="88" spans="1:16" s="83" customFormat="1">
      <c r="A88" s="110">
        <f t="shared" ref="A88:I88" si="31">A32</f>
        <v>23</v>
      </c>
      <c r="B88" s="111">
        <f t="shared" si="31"/>
        <v>0</v>
      </c>
      <c r="C88" s="111">
        <f t="shared" si="31"/>
        <v>0</v>
      </c>
      <c r="D88" s="111">
        <f t="shared" si="31"/>
        <v>0</v>
      </c>
      <c r="E88" s="111">
        <f t="shared" si="31"/>
        <v>0</v>
      </c>
      <c r="F88" s="111">
        <f t="shared" si="31"/>
        <v>0</v>
      </c>
      <c r="G88" s="111">
        <f t="shared" si="31"/>
        <v>0</v>
      </c>
      <c r="H88" s="111">
        <f t="shared" si="31"/>
        <v>0</v>
      </c>
      <c r="I88" s="112">
        <f t="shared" si="31"/>
        <v>0</v>
      </c>
      <c r="J88" s="113">
        <f>J32*(1-'Форма ввода'!$C$56)</f>
        <v>0</v>
      </c>
      <c r="K88" s="90">
        <f t="shared" si="8"/>
        <v>0</v>
      </c>
      <c r="L88" s="114">
        <f t="shared" si="6"/>
        <v>0</v>
      </c>
      <c r="M88" s="90">
        <f t="shared" si="9"/>
        <v>0</v>
      </c>
      <c r="N88" s="90">
        <f t="shared" si="10"/>
        <v>0</v>
      </c>
      <c r="O88" s="115"/>
      <c r="P88" s="116"/>
    </row>
    <row r="89" spans="1:16" s="83" customFormat="1">
      <c r="A89" s="110">
        <f t="shared" ref="A89:I89" si="32">A33</f>
        <v>24</v>
      </c>
      <c r="B89" s="111">
        <f t="shared" si="32"/>
        <v>0</v>
      </c>
      <c r="C89" s="111">
        <f t="shared" si="32"/>
        <v>0</v>
      </c>
      <c r="D89" s="111">
        <f t="shared" si="32"/>
        <v>0</v>
      </c>
      <c r="E89" s="111">
        <f t="shared" si="32"/>
        <v>0</v>
      </c>
      <c r="F89" s="111">
        <f t="shared" si="32"/>
        <v>0</v>
      </c>
      <c r="G89" s="111">
        <f t="shared" si="32"/>
        <v>0</v>
      </c>
      <c r="H89" s="111">
        <f t="shared" si="32"/>
        <v>0</v>
      </c>
      <c r="I89" s="112">
        <f t="shared" si="32"/>
        <v>0</v>
      </c>
      <c r="J89" s="113">
        <f>J33*(1-'Форма ввода'!$C$56)</f>
        <v>0</v>
      </c>
      <c r="K89" s="90">
        <f t="shared" si="8"/>
        <v>0</v>
      </c>
      <c r="L89" s="114">
        <f t="shared" si="6"/>
        <v>0</v>
      </c>
      <c r="M89" s="90">
        <f t="shared" si="9"/>
        <v>0</v>
      </c>
      <c r="N89" s="90">
        <f t="shared" si="10"/>
        <v>0</v>
      </c>
      <c r="O89" s="115"/>
      <c r="P89" s="116"/>
    </row>
    <row r="90" spans="1:16" s="83" customFormat="1">
      <c r="A90" s="110">
        <f t="shared" ref="A90:I90" si="33">A34</f>
        <v>25</v>
      </c>
      <c r="B90" s="111">
        <f t="shared" si="33"/>
        <v>0</v>
      </c>
      <c r="C90" s="111">
        <f t="shared" si="33"/>
        <v>0</v>
      </c>
      <c r="D90" s="111">
        <f t="shared" si="33"/>
        <v>0</v>
      </c>
      <c r="E90" s="111">
        <f t="shared" si="33"/>
        <v>0</v>
      </c>
      <c r="F90" s="111">
        <f t="shared" si="33"/>
        <v>0</v>
      </c>
      <c r="G90" s="111">
        <f t="shared" si="33"/>
        <v>0</v>
      </c>
      <c r="H90" s="111">
        <f t="shared" si="33"/>
        <v>0</v>
      </c>
      <c r="I90" s="112">
        <f t="shared" si="33"/>
        <v>0</v>
      </c>
      <c r="J90" s="113">
        <f>J34*(1-'Форма ввода'!$C$56)</f>
        <v>0</v>
      </c>
      <c r="K90" s="90">
        <f t="shared" si="8"/>
        <v>0</v>
      </c>
      <c r="L90" s="114">
        <f t="shared" si="6"/>
        <v>0</v>
      </c>
      <c r="M90" s="90">
        <f t="shared" si="9"/>
        <v>0</v>
      </c>
      <c r="N90" s="90">
        <f t="shared" si="10"/>
        <v>0</v>
      </c>
      <c r="O90" s="115"/>
      <c r="P90" s="116"/>
    </row>
    <row r="91" spans="1:16">
      <c r="A91" s="117"/>
      <c r="B91" s="117"/>
      <c r="C91" s="117"/>
      <c r="D91" s="117"/>
      <c r="E91" s="117"/>
      <c r="F91" s="117"/>
      <c r="G91" s="118"/>
      <c r="H91" s="118"/>
      <c r="I91" s="118"/>
      <c r="J91" s="118"/>
      <c r="K91" s="119"/>
      <c r="L91" s="119"/>
      <c r="M91" s="118"/>
      <c r="N91" s="118"/>
      <c r="O91" s="116"/>
      <c r="P91" s="116"/>
    </row>
    <row r="92" spans="1:16" s="80" customFormat="1" ht="69" customHeight="1">
      <c r="A92" s="163" t="s">
        <v>39</v>
      </c>
      <c r="B92" s="331" t="s">
        <v>40</v>
      </c>
      <c r="C92" s="331"/>
      <c r="D92" s="331"/>
      <c r="E92" s="331"/>
      <c r="F92" s="331"/>
      <c r="G92" s="331"/>
      <c r="H92" s="331"/>
      <c r="I92" s="331"/>
      <c r="J92" s="331"/>
      <c r="K92" s="331"/>
      <c r="L92" s="331"/>
      <c r="M92" s="331"/>
      <c r="N92" s="331"/>
      <c r="O92" s="330"/>
      <c r="P92" s="330"/>
    </row>
    <row r="93" spans="1:16" s="83" customFormat="1" ht="90">
      <c r="A93" s="82" t="str">
        <f t="shared" ref="A93:N93" si="34">A9</f>
        <v>№ п/п</v>
      </c>
      <c r="B93" s="82" t="str">
        <f t="shared" si="34"/>
        <v>Наименование Товара Поставщика</v>
      </c>
      <c r="C93" s="82" t="str">
        <f t="shared" si="34"/>
        <v>ГОСТ, ТУ,CAS</v>
      </c>
      <c r="D93" s="82" t="str">
        <f t="shared" si="34"/>
        <v>Наименование Товара для отражения в учетных системах Покупателя</v>
      </c>
      <c r="E93" s="82" t="str">
        <f t="shared" si="34"/>
        <v>Код АСВ НСИ</v>
      </c>
      <c r="F93" s="82" t="str">
        <f t="shared" si="34"/>
        <v>Ед. изм.</v>
      </c>
      <c r="G93" s="82" t="str">
        <f t="shared" si="34"/>
        <v>Производитель</v>
      </c>
      <c r="H93" s="82" t="str">
        <f t="shared" si="34"/>
        <v>Страна происхождения</v>
      </c>
      <c r="I93" s="82" t="str">
        <f t="shared" si="34"/>
        <v>Кол-во</v>
      </c>
      <c r="J93" s="82" t="str">
        <f t="shared" si="34"/>
        <v>Цена за единицу измерения без НДС, руб.</v>
      </c>
      <c r="K93" s="82" t="str">
        <f t="shared" si="34"/>
        <v>Стоимость без учета НДС, руб.</v>
      </c>
      <c r="L93" s="82" t="str">
        <f t="shared" si="34"/>
        <v>Ставка НДС,%</v>
      </c>
      <c r="M93" s="82" t="str">
        <f t="shared" si="34"/>
        <v>Сумма НДС руб.</v>
      </c>
      <c r="N93" s="82" t="str">
        <f t="shared" si="34"/>
        <v>Стоимость с учетом НДС, руб.</v>
      </c>
      <c r="O93" s="108"/>
      <c r="P93" s="109"/>
    </row>
    <row r="94" spans="1:16" s="83" customFormat="1">
      <c r="A94" s="110">
        <f t="shared" ref="A94:I94" si="35">A10</f>
        <v>1</v>
      </c>
      <c r="B94" s="111">
        <f t="shared" si="35"/>
        <v>0</v>
      </c>
      <c r="C94" s="111">
        <f t="shared" si="35"/>
        <v>0</v>
      </c>
      <c r="D94" s="111">
        <f t="shared" si="35"/>
        <v>0</v>
      </c>
      <c r="E94" s="111">
        <f t="shared" si="35"/>
        <v>0</v>
      </c>
      <c r="F94" s="111">
        <f t="shared" si="35"/>
        <v>0</v>
      </c>
      <c r="G94" s="111">
        <f t="shared" si="35"/>
        <v>0</v>
      </c>
      <c r="H94" s="111">
        <f t="shared" si="35"/>
        <v>0</v>
      </c>
      <c r="I94" s="120">
        <f t="shared" si="35"/>
        <v>0</v>
      </c>
      <c r="J94" s="113">
        <f>J10*(1-'Форма ввода'!$C$57)</f>
        <v>0</v>
      </c>
      <c r="K94" s="90">
        <f>ROUND(I94*J94,2)</f>
        <v>0</v>
      </c>
      <c r="L94" s="114">
        <f t="shared" ref="L94:L118" si="36">L10</f>
        <v>0</v>
      </c>
      <c r="M94" s="90">
        <f t="shared" ref="M94:M118" si="37">IF(L94="Без НДС",0,ROUND(K94*L94,2))</f>
        <v>0</v>
      </c>
      <c r="N94" s="90">
        <f>M94+K94</f>
        <v>0</v>
      </c>
      <c r="O94" s="115"/>
      <c r="P94" s="116"/>
    </row>
    <row r="95" spans="1:16" s="83" customFormat="1">
      <c r="A95" s="110">
        <f t="shared" ref="A95:I95" si="38">A11</f>
        <v>2</v>
      </c>
      <c r="B95" s="111">
        <f t="shared" si="38"/>
        <v>0</v>
      </c>
      <c r="C95" s="111">
        <f t="shared" si="38"/>
        <v>0</v>
      </c>
      <c r="D95" s="111">
        <f t="shared" si="38"/>
        <v>0</v>
      </c>
      <c r="E95" s="111">
        <f t="shared" si="38"/>
        <v>0</v>
      </c>
      <c r="F95" s="111">
        <f t="shared" si="38"/>
        <v>0</v>
      </c>
      <c r="G95" s="111">
        <f t="shared" si="38"/>
        <v>0</v>
      </c>
      <c r="H95" s="111">
        <f t="shared" si="38"/>
        <v>0</v>
      </c>
      <c r="I95" s="120">
        <f t="shared" si="38"/>
        <v>0</v>
      </c>
      <c r="J95" s="113">
        <f>J11*(1-'Форма ввода'!$C$57)</f>
        <v>0</v>
      </c>
      <c r="K95" s="90">
        <f t="shared" ref="K95:K118" si="39">ROUND(I95*J95,2)</f>
        <v>0</v>
      </c>
      <c r="L95" s="114">
        <f t="shared" si="36"/>
        <v>0</v>
      </c>
      <c r="M95" s="90">
        <f t="shared" si="37"/>
        <v>0</v>
      </c>
      <c r="N95" s="90">
        <f t="shared" ref="N95:N118" si="40">M95+K95</f>
        <v>0</v>
      </c>
      <c r="O95" s="115"/>
      <c r="P95" s="116"/>
    </row>
    <row r="96" spans="1:16" s="83" customFormat="1">
      <c r="A96" s="110">
        <f t="shared" ref="A96:I96" si="41">A12</f>
        <v>3</v>
      </c>
      <c r="B96" s="111">
        <f t="shared" si="41"/>
        <v>0</v>
      </c>
      <c r="C96" s="111">
        <f t="shared" si="41"/>
        <v>0</v>
      </c>
      <c r="D96" s="111">
        <f t="shared" si="41"/>
        <v>0</v>
      </c>
      <c r="E96" s="111">
        <f t="shared" si="41"/>
        <v>0</v>
      </c>
      <c r="F96" s="111">
        <f t="shared" si="41"/>
        <v>0</v>
      </c>
      <c r="G96" s="111">
        <f t="shared" si="41"/>
        <v>0</v>
      </c>
      <c r="H96" s="111">
        <f t="shared" si="41"/>
        <v>0</v>
      </c>
      <c r="I96" s="120">
        <f t="shared" si="41"/>
        <v>0</v>
      </c>
      <c r="J96" s="113">
        <f>J12*(1-'Форма ввода'!$C$57)</f>
        <v>0</v>
      </c>
      <c r="K96" s="90">
        <f t="shared" si="39"/>
        <v>0</v>
      </c>
      <c r="L96" s="114">
        <f t="shared" si="36"/>
        <v>0</v>
      </c>
      <c r="M96" s="90">
        <f t="shared" si="37"/>
        <v>0</v>
      </c>
      <c r="N96" s="90">
        <f t="shared" si="40"/>
        <v>0</v>
      </c>
      <c r="O96" s="115"/>
      <c r="P96" s="116"/>
    </row>
    <row r="97" spans="1:16" s="83" customFormat="1">
      <c r="A97" s="110">
        <f t="shared" ref="A97:I97" si="42">A13</f>
        <v>4</v>
      </c>
      <c r="B97" s="111">
        <f t="shared" si="42"/>
        <v>0</v>
      </c>
      <c r="C97" s="111">
        <f t="shared" si="42"/>
        <v>0</v>
      </c>
      <c r="D97" s="111">
        <f t="shared" si="42"/>
        <v>0</v>
      </c>
      <c r="E97" s="111">
        <f t="shared" si="42"/>
        <v>0</v>
      </c>
      <c r="F97" s="111">
        <f t="shared" si="42"/>
        <v>0</v>
      </c>
      <c r="G97" s="111">
        <f t="shared" si="42"/>
        <v>0</v>
      </c>
      <c r="H97" s="111">
        <f t="shared" si="42"/>
        <v>0</v>
      </c>
      <c r="I97" s="120">
        <f t="shared" si="42"/>
        <v>0</v>
      </c>
      <c r="J97" s="113">
        <f>J13*(1-'Форма ввода'!$C$57)</f>
        <v>0</v>
      </c>
      <c r="K97" s="90">
        <f t="shared" si="39"/>
        <v>0</v>
      </c>
      <c r="L97" s="114">
        <f t="shared" si="36"/>
        <v>0</v>
      </c>
      <c r="M97" s="90">
        <f t="shared" si="37"/>
        <v>0</v>
      </c>
      <c r="N97" s="90">
        <f t="shared" si="40"/>
        <v>0</v>
      </c>
      <c r="O97" s="115"/>
      <c r="P97" s="116"/>
    </row>
    <row r="98" spans="1:16" s="83" customFormat="1">
      <c r="A98" s="110">
        <f t="shared" ref="A98:I98" si="43">A14</f>
        <v>5</v>
      </c>
      <c r="B98" s="111">
        <f t="shared" si="43"/>
        <v>0</v>
      </c>
      <c r="C98" s="111">
        <f t="shared" si="43"/>
        <v>0</v>
      </c>
      <c r="D98" s="111">
        <f t="shared" si="43"/>
        <v>0</v>
      </c>
      <c r="E98" s="111">
        <f t="shared" si="43"/>
        <v>0</v>
      </c>
      <c r="F98" s="111">
        <f t="shared" si="43"/>
        <v>0</v>
      </c>
      <c r="G98" s="111">
        <f t="shared" si="43"/>
        <v>0</v>
      </c>
      <c r="H98" s="111">
        <f t="shared" si="43"/>
        <v>0</v>
      </c>
      <c r="I98" s="120">
        <f t="shared" si="43"/>
        <v>0</v>
      </c>
      <c r="J98" s="113">
        <f>J14*(1-'Форма ввода'!$C$57)</f>
        <v>0</v>
      </c>
      <c r="K98" s="90">
        <f t="shared" si="39"/>
        <v>0</v>
      </c>
      <c r="L98" s="114">
        <f t="shared" si="36"/>
        <v>0</v>
      </c>
      <c r="M98" s="90">
        <f t="shared" si="37"/>
        <v>0</v>
      </c>
      <c r="N98" s="90">
        <f t="shared" si="40"/>
        <v>0</v>
      </c>
      <c r="O98" s="115"/>
      <c r="P98" s="116"/>
    </row>
    <row r="99" spans="1:16" s="83" customFormat="1">
      <c r="A99" s="110">
        <f t="shared" ref="A99:I99" si="44">A15</f>
        <v>6</v>
      </c>
      <c r="B99" s="111">
        <f t="shared" si="44"/>
        <v>0</v>
      </c>
      <c r="C99" s="111">
        <f t="shared" si="44"/>
        <v>0</v>
      </c>
      <c r="D99" s="111">
        <f t="shared" si="44"/>
        <v>0</v>
      </c>
      <c r="E99" s="111">
        <f t="shared" si="44"/>
        <v>0</v>
      </c>
      <c r="F99" s="111">
        <f t="shared" si="44"/>
        <v>0</v>
      </c>
      <c r="G99" s="111">
        <f t="shared" si="44"/>
        <v>0</v>
      </c>
      <c r="H99" s="111">
        <f t="shared" si="44"/>
        <v>0</v>
      </c>
      <c r="I99" s="120">
        <f t="shared" si="44"/>
        <v>0</v>
      </c>
      <c r="J99" s="113">
        <f>J15*(1-'Форма ввода'!$C$57)</f>
        <v>0</v>
      </c>
      <c r="K99" s="90">
        <f t="shared" si="39"/>
        <v>0</v>
      </c>
      <c r="L99" s="114">
        <f t="shared" si="36"/>
        <v>0</v>
      </c>
      <c r="M99" s="90">
        <f t="shared" si="37"/>
        <v>0</v>
      </c>
      <c r="N99" s="90">
        <f t="shared" si="40"/>
        <v>0</v>
      </c>
      <c r="O99" s="115"/>
      <c r="P99" s="116"/>
    </row>
    <row r="100" spans="1:16" s="83" customFormat="1">
      <c r="A100" s="110">
        <f t="shared" ref="A100:I100" si="45">A16</f>
        <v>7</v>
      </c>
      <c r="B100" s="111">
        <f t="shared" si="45"/>
        <v>0</v>
      </c>
      <c r="C100" s="111">
        <f t="shared" si="45"/>
        <v>0</v>
      </c>
      <c r="D100" s="111">
        <f t="shared" si="45"/>
        <v>0</v>
      </c>
      <c r="E100" s="111">
        <f t="shared" si="45"/>
        <v>0</v>
      </c>
      <c r="F100" s="111">
        <f t="shared" si="45"/>
        <v>0</v>
      </c>
      <c r="G100" s="111">
        <f t="shared" si="45"/>
        <v>0</v>
      </c>
      <c r="H100" s="111">
        <f t="shared" si="45"/>
        <v>0</v>
      </c>
      <c r="I100" s="120">
        <f t="shared" si="45"/>
        <v>0</v>
      </c>
      <c r="J100" s="113">
        <f>J16*(1-'Форма ввода'!$C$57)</f>
        <v>0</v>
      </c>
      <c r="K100" s="90">
        <f t="shared" si="39"/>
        <v>0</v>
      </c>
      <c r="L100" s="114">
        <f t="shared" si="36"/>
        <v>0</v>
      </c>
      <c r="M100" s="90">
        <f t="shared" si="37"/>
        <v>0</v>
      </c>
      <c r="N100" s="90">
        <f t="shared" si="40"/>
        <v>0</v>
      </c>
      <c r="O100" s="115"/>
      <c r="P100" s="116"/>
    </row>
    <row r="101" spans="1:16" s="83" customFormat="1">
      <c r="A101" s="110">
        <f t="shared" ref="A101:I101" si="46">A17</f>
        <v>8</v>
      </c>
      <c r="B101" s="111">
        <f t="shared" si="46"/>
        <v>0</v>
      </c>
      <c r="C101" s="111">
        <f t="shared" si="46"/>
        <v>0</v>
      </c>
      <c r="D101" s="111">
        <f t="shared" si="46"/>
        <v>0</v>
      </c>
      <c r="E101" s="111">
        <f t="shared" si="46"/>
        <v>0</v>
      </c>
      <c r="F101" s="111">
        <f t="shared" si="46"/>
        <v>0</v>
      </c>
      <c r="G101" s="111">
        <f t="shared" si="46"/>
        <v>0</v>
      </c>
      <c r="H101" s="111">
        <f t="shared" si="46"/>
        <v>0</v>
      </c>
      <c r="I101" s="120">
        <f t="shared" si="46"/>
        <v>0</v>
      </c>
      <c r="J101" s="113">
        <f>J17*(1-'Форма ввода'!$C$57)</f>
        <v>0</v>
      </c>
      <c r="K101" s="90">
        <f t="shared" si="39"/>
        <v>0</v>
      </c>
      <c r="L101" s="114">
        <f t="shared" si="36"/>
        <v>0</v>
      </c>
      <c r="M101" s="90">
        <f t="shared" si="37"/>
        <v>0</v>
      </c>
      <c r="N101" s="90">
        <f t="shared" si="40"/>
        <v>0</v>
      </c>
      <c r="O101" s="115"/>
      <c r="P101" s="116"/>
    </row>
    <row r="102" spans="1:16" s="83" customFormat="1">
      <c r="A102" s="110">
        <f t="shared" ref="A102:I102" si="47">A18</f>
        <v>9</v>
      </c>
      <c r="B102" s="111">
        <f t="shared" si="47"/>
        <v>0</v>
      </c>
      <c r="C102" s="111">
        <f t="shared" si="47"/>
        <v>0</v>
      </c>
      <c r="D102" s="111">
        <f t="shared" si="47"/>
        <v>0</v>
      </c>
      <c r="E102" s="111">
        <f t="shared" si="47"/>
        <v>0</v>
      </c>
      <c r="F102" s="111">
        <f t="shared" si="47"/>
        <v>0</v>
      </c>
      <c r="G102" s="111">
        <f t="shared" si="47"/>
        <v>0</v>
      </c>
      <c r="H102" s="111">
        <f t="shared" si="47"/>
        <v>0</v>
      </c>
      <c r="I102" s="120">
        <f t="shared" si="47"/>
        <v>0</v>
      </c>
      <c r="J102" s="113">
        <f>J18*(1-'Форма ввода'!$C$57)</f>
        <v>0</v>
      </c>
      <c r="K102" s="90">
        <f t="shared" si="39"/>
        <v>0</v>
      </c>
      <c r="L102" s="114">
        <f t="shared" si="36"/>
        <v>0</v>
      </c>
      <c r="M102" s="90">
        <f t="shared" si="37"/>
        <v>0</v>
      </c>
      <c r="N102" s="90">
        <f t="shared" si="40"/>
        <v>0</v>
      </c>
      <c r="O102" s="115"/>
      <c r="P102" s="116"/>
    </row>
    <row r="103" spans="1:16" s="83" customFormat="1">
      <c r="A103" s="110">
        <f t="shared" ref="A103:I103" si="48">A19</f>
        <v>10</v>
      </c>
      <c r="B103" s="111">
        <f t="shared" si="48"/>
        <v>0</v>
      </c>
      <c r="C103" s="111">
        <f t="shared" si="48"/>
        <v>0</v>
      </c>
      <c r="D103" s="111">
        <f t="shared" si="48"/>
        <v>0</v>
      </c>
      <c r="E103" s="111">
        <f t="shared" si="48"/>
        <v>0</v>
      </c>
      <c r="F103" s="111">
        <f t="shared" si="48"/>
        <v>0</v>
      </c>
      <c r="G103" s="111">
        <f t="shared" si="48"/>
        <v>0</v>
      </c>
      <c r="H103" s="111">
        <f t="shared" si="48"/>
        <v>0</v>
      </c>
      <c r="I103" s="120">
        <f t="shared" si="48"/>
        <v>0</v>
      </c>
      <c r="J103" s="113">
        <f>J19*(1-'Форма ввода'!$C$57)</f>
        <v>0</v>
      </c>
      <c r="K103" s="90">
        <f t="shared" si="39"/>
        <v>0</v>
      </c>
      <c r="L103" s="114">
        <f t="shared" si="36"/>
        <v>0</v>
      </c>
      <c r="M103" s="90">
        <f t="shared" si="37"/>
        <v>0</v>
      </c>
      <c r="N103" s="90">
        <f t="shared" si="40"/>
        <v>0</v>
      </c>
      <c r="O103" s="115"/>
      <c r="P103" s="116"/>
    </row>
    <row r="104" spans="1:16" s="83" customFormat="1">
      <c r="A104" s="110">
        <f t="shared" ref="A104:I104" si="49">A20</f>
        <v>11</v>
      </c>
      <c r="B104" s="111">
        <f t="shared" si="49"/>
        <v>0</v>
      </c>
      <c r="C104" s="111">
        <f t="shared" si="49"/>
        <v>0</v>
      </c>
      <c r="D104" s="111">
        <f t="shared" si="49"/>
        <v>0</v>
      </c>
      <c r="E104" s="111">
        <f t="shared" si="49"/>
        <v>0</v>
      </c>
      <c r="F104" s="111">
        <f t="shared" si="49"/>
        <v>0</v>
      </c>
      <c r="G104" s="111">
        <f t="shared" si="49"/>
        <v>0</v>
      </c>
      <c r="H104" s="111">
        <f t="shared" si="49"/>
        <v>0</v>
      </c>
      <c r="I104" s="120">
        <f t="shared" si="49"/>
        <v>0</v>
      </c>
      <c r="J104" s="113">
        <f>J20*(1-'Форма ввода'!$C$57)</f>
        <v>0</v>
      </c>
      <c r="K104" s="90">
        <f t="shared" si="39"/>
        <v>0</v>
      </c>
      <c r="L104" s="114">
        <f t="shared" si="36"/>
        <v>0</v>
      </c>
      <c r="M104" s="90">
        <f t="shared" si="37"/>
        <v>0</v>
      </c>
      <c r="N104" s="90">
        <f t="shared" si="40"/>
        <v>0</v>
      </c>
      <c r="O104" s="115"/>
      <c r="P104" s="116"/>
    </row>
    <row r="105" spans="1:16" s="83" customFormat="1">
      <c r="A105" s="110">
        <f t="shared" ref="A105:I105" si="50">A21</f>
        <v>12</v>
      </c>
      <c r="B105" s="111">
        <f t="shared" si="50"/>
        <v>0</v>
      </c>
      <c r="C105" s="111">
        <f t="shared" si="50"/>
        <v>0</v>
      </c>
      <c r="D105" s="111">
        <f t="shared" si="50"/>
        <v>0</v>
      </c>
      <c r="E105" s="111">
        <f t="shared" si="50"/>
        <v>0</v>
      </c>
      <c r="F105" s="111">
        <f t="shared" si="50"/>
        <v>0</v>
      </c>
      <c r="G105" s="111">
        <f t="shared" si="50"/>
        <v>0</v>
      </c>
      <c r="H105" s="111">
        <f t="shared" si="50"/>
        <v>0</v>
      </c>
      <c r="I105" s="120">
        <f t="shared" si="50"/>
        <v>0</v>
      </c>
      <c r="J105" s="113">
        <f>J21*(1-'Форма ввода'!$C$57)</f>
        <v>0</v>
      </c>
      <c r="K105" s="90">
        <f t="shared" si="39"/>
        <v>0</v>
      </c>
      <c r="L105" s="114">
        <f t="shared" si="36"/>
        <v>0</v>
      </c>
      <c r="M105" s="90">
        <f t="shared" si="37"/>
        <v>0</v>
      </c>
      <c r="N105" s="90">
        <f t="shared" si="40"/>
        <v>0</v>
      </c>
      <c r="O105" s="115"/>
      <c r="P105" s="116"/>
    </row>
    <row r="106" spans="1:16" s="83" customFormat="1">
      <c r="A106" s="110">
        <f t="shared" ref="A106:I106" si="51">A22</f>
        <v>13</v>
      </c>
      <c r="B106" s="111">
        <f t="shared" si="51"/>
        <v>0</v>
      </c>
      <c r="C106" s="111">
        <f t="shared" si="51"/>
        <v>0</v>
      </c>
      <c r="D106" s="111">
        <f t="shared" si="51"/>
        <v>0</v>
      </c>
      <c r="E106" s="111">
        <f t="shared" si="51"/>
        <v>0</v>
      </c>
      <c r="F106" s="111">
        <f t="shared" si="51"/>
        <v>0</v>
      </c>
      <c r="G106" s="111">
        <f t="shared" si="51"/>
        <v>0</v>
      </c>
      <c r="H106" s="111">
        <f t="shared" si="51"/>
        <v>0</v>
      </c>
      <c r="I106" s="120">
        <f t="shared" si="51"/>
        <v>0</v>
      </c>
      <c r="J106" s="113">
        <f>J22*(1-'Форма ввода'!$C$57)</f>
        <v>0</v>
      </c>
      <c r="K106" s="90">
        <f t="shared" si="39"/>
        <v>0</v>
      </c>
      <c r="L106" s="114">
        <f t="shared" si="36"/>
        <v>0</v>
      </c>
      <c r="M106" s="90">
        <f t="shared" si="37"/>
        <v>0</v>
      </c>
      <c r="N106" s="90">
        <f t="shared" si="40"/>
        <v>0</v>
      </c>
      <c r="O106" s="115"/>
      <c r="P106" s="116"/>
    </row>
    <row r="107" spans="1:16" s="83" customFormat="1">
      <c r="A107" s="110">
        <f t="shared" ref="A107:I107" si="52">A23</f>
        <v>14</v>
      </c>
      <c r="B107" s="111">
        <f t="shared" si="52"/>
        <v>0</v>
      </c>
      <c r="C107" s="111">
        <f t="shared" si="52"/>
        <v>0</v>
      </c>
      <c r="D107" s="111">
        <f t="shared" si="52"/>
        <v>0</v>
      </c>
      <c r="E107" s="111">
        <f t="shared" si="52"/>
        <v>0</v>
      </c>
      <c r="F107" s="111">
        <f t="shared" si="52"/>
        <v>0</v>
      </c>
      <c r="G107" s="111">
        <f t="shared" si="52"/>
        <v>0</v>
      </c>
      <c r="H107" s="111">
        <f t="shared" si="52"/>
        <v>0</v>
      </c>
      <c r="I107" s="120">
        <f t="shared" si="52"/>
        <v>0</v>
      </c>
      <c r="J107" s="113">
        <f>J23*(1-'Форма ввода'!$C$57)</f>
        <v>0</v>
      </c>
      <c r="K107" s="90">
        <f t="shared" si="39"/>
        <v>0</v>
      </c>
      <c r="L107" s="114">
        <f t="shared" si="36"/>
        <v>0</v>
      </c>
      <c r="M107" s="90">
        <f t="shared" si="37"/>
        <v>0</v>
      </c>
      <c r="N107" s="90">
        <f t="shared" si="40"/>
        <v>0</v>
      </c>
      <c r="O107" s="115"/>
      <c r="P107" s="116"/>
    </row>
    <row r="108" spans="1:16" s="83" customFormat="1">
      <c r="A108" s="110">
        <f t="shared" ref="A108:I108" si="53">A24</f>
        <v>15</v>
      </c>
      <c r="B108" s="111">
        <f t="shared" si="53"/>
        <v>0</v>
      </c>
      <c r="C108" s="111">
        <f t="shared" si="53"/>
        <v>0</v>
      </c>
      <c r="D108" s="111">
        <f t="shared" si="53"/>
        <v>0</v>
      </c>
      <c r="E108" s="111">
        <f t="shared" si="53"/>
        <v>0</v>
      </c>
      <c r="F108" s="111">
        <f t="shared" si="53"/>
        <v>0</v>
      </c>
      <c r="G108" s="111">
        <f t="shared" si="53"/>
        <v>0</v>
      </c>
      <c r="H108" s="111">
        <f t="shared" si="53"/>
        <v>0</v>
      </c>
      <c r="I108" s="120">
        <f t="shared" si="53"/>
        <v>0</v>
      </c>
      <c r="J108" s="113">
        <f>J24*(1-'Форма ввода'!$C$57)</f>
        <v>0</v>
      </c>
      <c r="K108" s="90">
        <f t="shared" si="39"/>
        <v>0</v>
      </c>
      <c r="L108" s="114">
        <f t="shared" si="36"/>
        <v>0</v>
      </c>
      <c r="M108" s="90">
        <f t="shared" si="37"/>
        <v>0</v>
      </c>
      <c r="N108" s="90">
        <f t="shared" si="40"/>
        <v>0</v>
      </c>
      <c r="O108" s="115"/>
      <c r="P108" s="116"/>
    </row>
    <row r="109" spans="1:16" s="83" customFormat="1">
      <c r="A109" s="110">
        <f t="shared" ref="A109:I109" si="54">A25</f>
        <v>16</v>
      </c>
      <c r="B109" s="111">
        <f t="shared" si="54"/>
        <v>0</v>
      </c>
      <c r="C109" s="111">
        <f t="shared" si="54"/>
        <v>0</v>
      </c>
      <c r="D109" s="111">
        <f t="shared" si="54"/>
        <v>0</v>
      </c>
      <c r="E109" s="111">
        <f t="shared" si="54"/>
        <v>0</v>
      </c>
      <c r="F109" s="111">
        <f t="shared" si="54"/>
        <v>0</v>
      </c>
      <c r="G109" s="111">
        <f t="shared" si="54"/>
        <v>0</v>
      </c>
      <c r="H109" s="111">
        <f t="shared" si="54"/>
        <v>0</v>
      </c>
      <c r="I109" s="120">
        <f t="shared" si="54"/>
        <v>0</v>
      </c>
      <c r="J109" s="113">
        <f>J25*(1-'Форма ввода'!$C$57)</f>
        <v>0</v>
      </c>
      <c r="K109" s="90">
        <f t="shared" si="39"/>
        <v>0</v>
      </c>
      <c r="L109" s="114">
        <f t="shared" si="36"/>
        <v>0</v>
      </c>
      <c r="M109" s="90">
        <f t="shared" si="37"/>
        <v>0</v>
      </c>
      <c r="N109" s="90">
        <f t="shared" si="40"/>
        <v>0</v>
      </c>
      <c r="O109" s="115"/>
      <c r="P109" s="116"/>
    </row>
    <row r="110" spans="1:16" s="83" customFormat="1">
      <c r="A110" s="110">
        <f t="shared" ref="A110:I110" si="55">A26</f>
        <v>17</v>
      </c>
      <c r="B110" s="111">
        <f t="shared" si="55"/>
        <v>0</v>
      </c>
      <c r="C110" s="111">
        <f t="shared" si="55"/>
        <v>0</v>
      </c>
      <c r="D110" s="111">
        <f t="shared" si="55"/>
        <v>0</v>
      </c>
      <c r="E110" s="111">
        <f t="shared" si="55"/>
        <v>0</v>
      </c>
      <c r="F110" s="111">
        <f t="shared" si="55"/>
        <v>0</v>
      </c>
      <c r="G110" s="111">
        <f t="shared" si="55"/>
        <v>0</v>
      </c>
      <c r="H110" s="111">
        <f t="shared" si="55"/>
        <v>0</v>
      </c>
      <c r="I110" s="120">
        <f t="shared" si="55"/>
        <v>0</v>
      </c>
      <c r="J110" s="113">
        <f>J26*(1-'Форма ввода'!$C$57)</f>
        <v>0</v>
      </c>
      <c r="K110" s="90">
        <f t="shared" si="39"/>
        <v>0</v>
      </c>
      <c r="L110" s="114">
        <f t="shared" si="36"/>
        <v>0</v>
      </c>
      <c r="M110" s="90">
        <f t="shared" si="37"/>
        <v>0</v>
      </c>
      <c r="N110" s="90">
        <f t="shared" si="40"/>
        <v>0</v>
      </c>
      <c r="O110" s="115"/>
      <c r="P110" s="116"/>
    </row>
    <row r="111" spans="1:16" s="83" customFormat="1">
      <c r="A111" s="110">
        <f t="shared" ref="A111:I111" si="56">A27</f>
        <v>18</v>
      </c>
      <c r="B111" s="111">
        <f t="shared" si="56"/>
        <v>0</v>
      </c>
      <c r="C111" s="111">
        <f t="shared" si="56"/>
        <v>0</v>
      </c>
      <c r="D111" s="111">
        <f t="shared" si="56"/>
        <v>0</v>
      </c>
      <c r="E111" s="111">
        <f t="shared" si="56"/>
        <v>0</v>
      </c>
      <c r="F111" s="111">
        <f t="shared" si="56"/>
        <v>0</v>
      </c>
      <c r="G111" s="111">
        <f t="shared" si="56"/>
        <v>0</v>
      </c>
      <c r="H111" s="111">
        <f t="shared" si="56"/>
        <v>0</v>
      </c>
      <c r="I111" s="120">
        <f t="shared" si="56"/>
        <v>0</v>
      </c>
      <c r="J111" s="113">
        <f>J27*(1-'Форма ввода'!$C$57)</f>
        <v>0</v>
      </c>
      <c r="K111" s="90">
        <f t="shared" si="39"/>
        <v>0</v>
      </c>
      <c r="L111" s="114">
        <f t="shared" si="36"/>
        <v>0</v>
      </c>
      <c r="M111" s="90">
        <f t="shared" si="37"/>
        <v>0</v>
      </c>
      <c r="N111" s="90">
        <f t="shared" si="40"/>
        <v>0</v>
      </c>
      <c r="O111" s="115"/>
      <c r="P111" s="116"/>
    </row>
    <row r="112" spans="1:16" s="83" customFormat="1">
      <c r="A112" s="110">
        <f t="shared" ref="A112:I112" si="57">A28</f>
        <v>19</v>
      </c>
      <c r="B112" s="111">
        <f t="shared" si="57"/>
        <v>0</v>
      </c>
      <c r="C112" s="111">
        <f t="shared" si="57"/>
        <v>0</v>
      </c>
      <c r="D112" s="111">
        <f t="shared" si="57"/>
        <v>0</v>
      </c>
      <c r="E112" s="111">
        <f t="shared" si="57"/>
        <v>0</v>
      </c>
      <c r="F112" s="111">
        <f t="shared" si="57"/>
        <v>0</v>
      </c>
      <c r="G112" s="111">
        <f t="shared" si="57"/>
        <v>0</v>
      </c>
      <c r="H112" s="111">
        <f t="shared" si="57"/>
        <v>0</v>
      </c>
      <c r="I112" s="120">
        <f t="shared" si="57"/>
        <v>0</v>
      </c>
      <c r="J112" s="113">
        <f>J28*(1-'Форма ввода'!$C$57)</f>
        <v>0</v>
      </c>
      <c r="K112" s="90">
        <f t="shared" si="39"/>
        <v>0</v>
      </c>
      <c r="L112" s="114">
        <f t="shared" si="36"/>
        <v>0</v>
      </c>
      <c r="M112" s="90">
        <f t="shared" si="37"/>
        <v>0</v>
      </c>
      <c r="N112" s="90">
        <f t="shared" si="40"/>
        <v>0</v>
      </c>
      <c r="O112" s="115"/>
      <c r="P112" s="116"/>
    </row>
    <row r="113" spans="1:16" s="83" customFormat="1">
      <c r="A113" s="110">
        <f t="shared" ref="A113:I113" si="58">A29</f>
        <v>20</v>
      </c>
      <c r="B113" s="111">
        <f t="shared" si="58"/>
        <v>0</v>
      </c>
      <c r="C113" s="111">
        <f t="shared" si="58"/>
        <v>0</v>
      </c>
      <c r="D113" s="111">
        <f t="shared" si="58"/>
        <v>0</v>
      </c>
      <c r="E113" s="111">
        <f t="shared" si="58"/>
        <v>0</v>
      </c>
      <c r="F113" s="111">
        <f t="shared" si="58"/>
        <v>0</v>
      </c>
      <c r="G113" s="111">
        <f t="shared" si="58"/>
        <v>0</v>
      </c>
      <c r="H113" s="111">
        <f t="shared" si="58"/>
        <v>0</v>
      </c>
      <c r="I113" s="120">
        <f t="shared" si="58"/>
        <v>0</v>
      </c>
      <c r="J113" s="113">
        <f>J29*(1-'Форма ввода'!$C$57)</f>
        <v>0</v>
      </c>
      <c r="K113" s="90">
        <f t="shared" si="39"/>
        <v>0</v>
      </c>
      <c r="L113" s="114">
        <f t="shared" si="36"/>
        <v>0</v>
      </c>
      <c r="M113" s="90">
        <f t="shared" si="37"/>
        <v>0</v>
      </c>
      <c r="N113" s="90">
        <f t="shared" si="40"/>
        <v>0</v>
      </c>
      <c r="O113" s="115"/>
      <c r="P113" s="116"/>
    </row>
    <row r="114" spans="1:16" s="83" customFormat="1">
      <c r="A114" s="110">
        <f t="shared" ref="A114:I114" si="59">A30</f>
        <v>21</v>
      </c>
      <c r="B114" s="111">
        <f t="shared" si="59"/>
        <v>0</v>
      </c>
      <c r="C114" s="111">
        <f t="shared" si="59"/>
        <v>0</v>
      </c>
      <c r="D114" s="111">
        <f t="shared" si="59"/>
        <v>0</v>
      </c>
      <c r="E114" s="111">
        <f t="shared" si="59"/>
        <v>0</v>
      </c>
      <c r="F114" s="111">
        <f t="shared" si="59"/>
        <v>0</v>
      </c>
      <c r="G114" s="111">
        <f t="shared" si="59"/>
        <v>0</v>
      </c>
      <c r="H114" s="111">
        <f t="shared" si="59"/>
        <v>0</v>
      </c>
      <c r="I114" s="120">
        <f t="shared" si="59"/>
        <v>0</v>
      </c>
      <c r="J114" s="113">
        <f>J30*(1-'Форма ввода'!$C$57)</f>
        <v>0</v>
      </c>
      <c r="K114" s="90">
        <f t="shared" si="39"/>
        <v>0</v>
      </c>
      <c r="L114" s="114">
        <f t="shared" si="36"/>
        <v>0</v>
      </c>
      <c r="M114" s="90">
        <f t="shared" si="37"/>
        <v>0</v>
      </c>
      <c r="N114" s="90">
        <f t="shared" si="40"/>
        <v>0</v>
      </c>
      <c r="O114" s="115"/>
      <c r="P114" s="116"/>
    </row>
    <row r="115" spans="1:16" s="83" customFormat="1">
      <c r="A115" s="110">
        <f t="shared" ref="A115:I115" si="60">A31</f>
        <v>22</v>
      </c>
      <c r="B115" s="111">
        <f t="shared" si="60"/>
        <v>0</v>
      </c>
      <c r="C115" s="111">
        <f t="shared" si="60"/>
        <v>0</v>
      </c>
      <c r="D115" s="111">
        <f t="shared" si="60"/>
        <v>0</v>
      </c>
      <c r="E115" s="111">
        <f t="shared" si="60"/>
        <v>0</v>
      </c>
      <c r="F115" s="111">
        <f t="shared" si="60"/>
        <v>0</v>
      </c>
      <c r="G115" s="111">
        <f t="shared" si="60"/>
        <v>0</v>
      </c>
      <c r="H115" s="111">
        <f t="shared" si="60"/>
        <v>0</v>
      </c>
      <c r="I115" s="120">
        <f t="shared" si="60"/>
        <v>0</v>
      </c>
      <c r="J115" s="113">
        <f>J31*(1-'Форма ввода'!$C$57)</f>
        <v>0</v>
      </c>
      <c r="K115" s="90">
        <f t="shared" si="39"/>
        <v>0</v>
      </c>
      <c r="L115" s="114">
        <f t="shared" si="36"/>
        <v>0</v>
      </c>
      <c r="M115" s="90">
        <f t="shared" si="37"/>
        <v>0</v>
      </c>
      <c r="N115" s="90">
        <f t="shared" si="40"/>
        <v>0</v>
      </c>
      <c r="O115" s="115"/>
      <c r="P115" s="116"/>
    </row>
    <row r="116" spans="1:16" s="83" customFormat="1">
      <c r="A116" s="110">
        <f t="shared" ref="A116:I116" si="61">A32</f>
        <v>23</v>
      </c>
      <c r="B116" s="111">
        <f t="shared" si="61"/>
        <v>0</v>
      </c>
      <c r="C116" s="111">
        <f t="shared" si="61"/>
        <v>0</v>
      </c>
      <c r="D116" s="111">
        <f t="shared" si="61"/>
        <v>0</v>
      </c>
      <c r="E116" s="111">
        <f t="shared" si="61"/>
        <v>0</v>
      </c>
      <c r="F116" s="111">
        <f t="shared" si="61"/>
        <v>0</v>
      </c>
      <c r="G116" s="111">
        <f t="shared" si="61"/>
        <v>0</v>
      </c>
      <c r="H116" s="111">
        <f t="shared" si="61"/>
        <v>0</v>
      </c>
      <c r="I116" s="120">
        <f t="shared" si="61"/>
        <v>0</v>
      </c>
      <c r="J116" s="113">
        <f>J32*(1-'Форма ввода'!$C$57)</f>
        <v>0</v>
      </c>
      <c r="K116" s="90">
        <f t="shared" si="39"/>
        <v>0</v>
      </c>
      <c r="L116" s="114">
        <f t="shared" si="36"/>
        <v>0</v>
      </c>
      <c r="M116" s="90">
        <f t="shared" si="37"/>
        <v>0</v>
      </c>
      <c r="N116" s="90">
        <f t="shared" si="40"/>
        <v>0</v>
      </c>
      <c r="O116" s="115"/>
      <c r="P116" s="116"/>
    </row>
    <row r="117" spans="1:16" s="83" customFormat="1">
      <c r="A117" s="110">
        <f t="shared" ref="A117:I117" si="62">A33</f>
        <v>24</v>
      </c>
      <c r="B117" s="111">
        <f t="shared" si="62"/>
        <v>0</v>
      </c>
      <c r="C117" s="111">
        <f t="shared" si="62"/>
        <v>0</v>
      </c>
      <c r="D117" s="111">
        <f t="shared" si="62"/>
        <v>0</v>
      </c>
      <c r="E117" s="111">
        <f t="shared" si="62"/>
        <v>0</v>
      </c>
      <c r="F117" s="111">
        <f t="shared" si="62"/>
        <v>0</v>
      </c>
      <c r="G117" s="111">
        <f t="shared" si="62"/>
        <v>0</v>
      </c>
      <c r="H117" s="111">
        <f t="shared" si="62"/>
        <v>0</v>
      </c>
      <c r="I117" s="120">
        <f t="shared" si="62"/>
        <v>0</v>
      </c>
      <c r="J117" s="113">
        <f>J33*(1-'Форма ввода'!$C$57)</f>
        <v>0</v>
      </c>
      <c r="K117" s="90">
        <f t="shared" si="39"/>
        <v>0</v>
      </c>
      <c r="L117" s="114">
        <f t="shared" si="36"/>
        <v>0</v>
      </c>
      <c r="M117" s="90">
        <f t="shared" si="37"/>
        <v>0</v>
      </c>
      <c r="N117" s="90">
        <f t="shared" si="40"/>
        <v>0</v>
      </c>
      <c r="O117" s="115"/>
      <c r="P117" s="116"/>
    </row>
    <row r="118" spans="1:16" s="83" customFormat="1">
      <c r="A118" s="110">
        <f t="shared" ref="A118:I118" si="63">A34</f>
        <v>25</v>
      </c>
      <c r="B118" s="111">
        <f t="shared" si="63"/>
        <v>0</v>
      </c>
      <c r="C118" s="111">
        <f t="shared" si="63"/>
        <v>0</v>
      </c>
      <c r="D118" s="111">
        <f t="shared" si="63"/>
        <v>0</v>
      </c>
      <c r="E118" s="111">
        <f t="shared" si="63"/>
        <v>0</v>
      </c>
      <c r="F118" s="111">
        <f t="shared" si="63"/>
        <v>0</v>
      </c>
      <c r="G118" s="111">
        <f t="shared" si="63"/>
        <v>0</v>
      </c>
      <c r="H118" s="111">
        <f t="shared" si="63"/>
        <v>0</v>
      </c>
      <c r="I118" s="120">
        <f t="shared" si="63"/>
        <v>0</v>
      </c>
      <c r="J118" s="113">
        <f>J34*(1-'Форма ввода'!$C$57)</f>
        <v>0</v>
      </c>
      <c r="K118" s="90">
        <f t="shared" si="39"/>
        <v>0</v>
      </c>
      <c r="L118" s="114">
        <f t="shared" si="36"/>
        <v>0</v>
      </c>
      <c r="M118" s="90">
        <f t="shared" si="37"/>
        <v>0</v>
      </c>
      <c r="N118" s="90">
        <f t="shared" si="40"/>
        <v>0</v>
      </c>
      <c r="O118" s="115"/>
      <c r="P118" s="116"/>
    </row>
    <row r="119" spans="1:16">
      <c r="A119" s="117"/>
      <c r="B119" s="117"/>
      <c r="C119" s="117"/>
      <c r="D119" s="117"/>
      <c r="E119" s="117"/>
      <c r="F119" s="117"/>
      <c r="G119" s="118"/>
      <c r="H119" s="118"/>
      <c r="I119" s="118"/>
      <c r="J119" s="118"/>
      <c r="K119" s="119"/>
      <c r="L119" s="119"/>
      <c r="M119" s="118"/>
      <c r="N119" s="118"/>
      <c r="O119" s="118"/>
      <c r="P119" s="117"/>
    </row>
    <row r="120" spans="1:16" ht="288" customHeight="1">
      <c r="A120" s="164" t="s">
        <v>41</v>
      </c>
      <c r="B120" s="327" t="s">
        <v>42</v>
      </c>
      <c r="C120" s="327"/>
      <c r="D120" s="327"/>
      <c r="E120" s="327"/>
      <c r="F120" s="327"/>
      <c r="G120" s="327"/>
      <c r="H120" s="327"/>
      <c r="I120" s="327"/>
      <c r="J120" s="327"/>
      <c r="K120" s="327"/>
      <c r="L120" s="327"/>
      <c r="M120" s="327"/>
      <c r="N120" s="327"/>
      <c r="O120" s="327"/>
      <c r="P120" s="327"/>
    </row>
    <row r="121" spans="1:16" ht="30">
      <c r="A121" s="158" t="str">
        <f>IF('Форма ввода'!C55="нет","12.","13.")</f>
        <v>13.</v>
      </c>
      <c r="B121" s="330" t="s">
        <v>43</v>
      </c>
      <c r="C121" s="330"/>
      <c r="D121" s="330"/>
      <c r="E121" s="330"/>
      <c r="F121" s="330"/>
      <c r="G121" s="330"/>
      <c r="H121" s="330"/>
      <c r="I121" s="330"/>
      <c r="J121" s="330"/>
      <c r="K121" s="330"/>
      <c r="L121" s="330"/>
      <c r="M121" s="330"/>
      <c r="N121" s="330"/>
      <c r="O121" s="330"/>
      <c r="P121" s="330"/>
    </row>
    <row r="122" spans="1:16" ht="75.75" customHeight="1">
      <c r="A122" s="158"/>
      <c r="B122" s="318" t="str">
        <f>IF('Форма ввода'!D59="+",CONCATENATE("Адрес для направления оригинала  настоящего дополнительного соглашения, подписанного Поставщиком: 
",'Форма ввода'!C59)," ")</f>
        <v xml:space="preserve">Адрес для направления оригинала  настоящего дополнительного соглашения, подписанного Поставщиком: 
</v>
      </c>
      <c r="C122" s="318"/>
      <c r="D122" s="318"/>
      <c r="E122" s="318"/>
      <c r="F122" s="318"/>
      <c r="G122" s="318"/>
      <c r="H122" s="318"/>
      <c r="I122" s="318"/>
      <c r="J122" s="318"/>
      <c r="K122" s="318"/>
      <c r="L122" s="318"/>
      <c r="M122" s="318"/>
      <c r="N122" s="318"/>
      <c r="O122" s="318"/>
      <c r="P122" s="318"/>
    </row>
    <row r="123" spans="1:16" ht="68.25" customHeight="1">
      <c r="A123" s="158"/>
      <c r="B123" s="318" t="str">
        <f>IF('Форма ввода'!D60="+",CONCATENATE("Адрес для направления оригинала  настоящего дополнительного соглашения, подписанного Покупателем: 
",'Форма ввода'!C60)," ")</f>
        <v xml:space="preserve">Адрес для направления оригинала  настоящего дополнительного соглашения, подписанного Покупателем: 
</v>
      </c>
      <c r="C123" s="318"/>
      <c r="D123" s="318"/>
      <c r="E123" s="318"/>
      <c r="F123" s="318"/>
      <c r="G123" s="318"/>
      <c r="H123" s="318"/>
      <c r="I123" s="318"/>
      <c r="J123" s="318"/>
      <c r="K123" s="318"/>
      <c r="L123" s="318"/>
      <c r="M123" s="318"/>
      <c r="N123" s="318"/>
      <c r="O123" s="318"/>
      <c r="P123" s="318"/>
    </row>
    <row r="124" spans="1:16" ht="50.25" customHeight="1">
      <c r="A124" s="158"/>
      <c r="B124" s="332" t="str">
        <f>IF('Форма ввода'!D61="+","Поставщик обязан наряду с прочими относящимися к Товару документами передать Покупателю одновременно с передачей Товара следующие документы:"," ")</f>
        <v>Поставщик обязан наряду с прочими относящимися к Товару документами передать Покупателю одновременно с передачей Товара следующие документы:</v>
      </c>
      <c r="C124" s="346"/>
      <c r="D124" s="346"/>
      <c r="E124" s="346"/>
      <c r="F124" s="346"/>
      <c r="G124" s="346"/>
      <c r="H124" s="346"/>
      <c r="I124" s="346"/>
      <c r="J124" s="346"/>
      <c r="K124" s="346"/>
      <c r="L124" s="346"/>
      <c r="M124" s="346"/>
      <c r="N124" s="346"/>
      <c r="O124" s="346"/>
      <c r="P124" s="346"/>
    </row>
    <row r="125" spans="1:16" ht="44.25" customHeight="1">
      <c r="A125" s="158"/>
      <c r="B125" s="332" t="s">
        <v>44</v>
      </c>
      <c r="C125" s="333"/>
      <c r="D125" s="333"/>
      <c r="E125" s="308"/>
      <c r="F125" s="308"/>
      <c r="G125" s="308"/>
      <c r="H125" s="308"/>
      <c r="I125" s="308"/>
      <c r="J125" s="308"/>
      <c r="K125" s="308"/>
      <c r="L125" s="308"/>
      <c r="M125" s="308"/>
      <c r="N125" s="308"/>
      <c r="O125" s="308"/>
      <c r="P125" s="308"/>
    </row>
    <row r="126" spans="1:16" ht="145.5" customHeight="1">
      <c r="A126" s="158"/>
      <c r="B126" s="332" t="str">
        <f>IF('Форма ввода'!D62="+",'Форма ввода'!C63&amp;CHAR(10)&amp;'Форма ввода'!C64&amp;CHAR(10)&amp;'Форма ввода'!C65&amp;CHAR(10)&amp;'Форма ввода'!C66&amp;CHAR(10)&amp;'Форма ввода'!C67,"")</f>
        <v xml:space="preserve">УПД
Товарно-транспортная накладная
Накладная по форме ТОРГ-12, счет-фактура
</v>
      </c>
      <c r="C126" s="333"/>
      <c r="D126" s="333"/>
      <c r="E126" s="308"/>
      <c r="F126" s="308"/>
      <c r="G126" s="308"/>
      <c r="H126" s="308"/>
      <c r="I126" s="308"/>
      <c r="J126" s="308"/>
      <c r="K126" s="308"/>
      <c r="L126" s="308"/>
      <c r="M126" s="308"/>
      <c r="N126" s="308"/>
      <c r="O126" s="308"/>
      <c r="P126" s="308"/>
    </row>
    <row r="127" spans="1:16" ht="33" customHeight="1">
      <c r="A127" s="158"/>
      <c r="B127" s="332" t="s">
        <v>45</v>
      </c>
      <c r="C127" s="333"/>
      <c r="D127" s="333"/>
      <c r="E127" s="308"/>
      <c r="F127" s="308"/>
      <c r="G127" s="308"/>
      <c r="H127" s="308"/>
      <c r="I127" s="308"/>
      <c r="J127" s="308"/>
      <c r="K127" s="308"/>
      <c r="L127" s="308"/>
      <c r="M127" s="308"/>
      <c r="N127" s="308"/>
      <c r="O127" s="308"/>
      <c r="P127" s="308"/>
    </row>
    <row r="128" spans="1:16" ht="59.25" customHeight="1">
      <c r="A128" s="158"/>
      <c r="B128" s="332" t="str">
        <f>IF('Форма ввода'!D68="+",'Форма ввода'!C69&amp;CHAR(10)&amp;'Форма ввода'!C70&amp;CHAR(10)&amp;'Форма ввода'!C71&amp;CHAR(10)&amp;'Форма ввода'!C72&amp;CHAR(10)&amp;'Форма ввода'!C73,"")</f>
        <v xml:space="preserve">Сертификат (паспорт) качества
</v>
      </c>
      <c r="C128" s="332"/>
      <c r="D128" s="332"/>
      <c r="E128" s="332"/>
      <c r="F128" s="332"/>
      <c r="G128" s="332"/>
      <c r="H128" s="332"/>
      <c r="I128" s="332"/>
      <c r="J128" s="332"/>
      <c r="K128" s="332"/>
      <c r="L128" s="332"/>
      <c r="M128" s="332"/>
      <c r="N128" s="332"/>
      <c r="O128" s="332"/>
      <c r="P128" s="332"/>
    </row>
    <row r="129" spans="1:16" ht="167.25" customHeight="1">
      <c r="A129" s="158"/>
      <c r="B129" s="318" t="str">
        <f>IF('Форма ввода'!D74="+",CONCATENATE('Форма ввода'!B74,"
",'Форма ввода'!C74)," ")</f>
        <v xml:space="preserve">Требование к упаковке Товара:
</v>
      </c>
      <c r="C129" s="318"/>
      <c r="D129" s="318"/>
      <c r="E129" s="318"/>
      <c r="F129" s="318"/>
      <c r="G129" s="318"/>
      <c r="H129" s="318"/>
      <c r="I129" s="318"/>
      <c r="J129" s="318"/>
      <c r="K129" s="318"/>
      <c r="L129" s="318"/>
      <c r="M129" s="318"/>
      <c r="N129" s="318"/>
      <c r="O129" s="318"/>
      <c r="P129" s="318"/>
    </row>
    <row r="130" spans="1:16" ht="63" customHeight="1">
      <c r="A130" s="158"/>
      <c r="B130" s="318" t="str">
        <f>IF('Форма ввода'!D75="+",'Форма ввода'!C75," ")</f>
        <v>Поставщик обязан посредством электронной почты, указанной в п.10 настоящего дополнительного соглашения, сообщить Покупателю в о прохождении следующих контрольных точек поставки Товара:</v>
      </c>
      <c r="C130" s="318"/>
      <c r="D130" s="318"/>
      <c r="E130" s="318"/>
      <c r="F130" s="318"/>
      <c r="G130" s="318"/>
      <c r="H130" s="318"/>
      <c r="I130" s="318"/>
      <c r="J130" s="318"/>
      <c r="K130" s="318"/>
      <c r="L130" s="318"/>
      <c r="M130" s="318"/>
      <c r="N130" s="318"/>
      <c r="O130" s="318"/>
      <c r="P130" s="318"/>
    </row>
    <row r="131" spans="1:16" ht="30.6">
      <c r="A131" s="158"/>
      <c r="B131" s="326" t="str">
        <f>IF('Форма ввода'!D76="+",'Форма ввода'!C76," ")</f>
        <v>- Заказ принят.</v>
      </c>
      <c r="C131" s="326"/>
      <c r="D131" s="326"/>
      <c r="E131" s="326"/>
      <c r="F131" s="326"/>
      <c r="G131" s="326"/>
      <c r="H131" s="326"/>
      <c r="I131" s="326"/>
      <c r="J131" s="326"/>
      <c r="K131" s="326"/>
      <c r="L131" s="326"/>
      <c r="M131" s="326"/>
      <c r="N131" s="326"/>
      <c r="O131" s="326"/>
      <c r="P131" s="326"/>
    </row>
    <row r="132" spans="1:16" ht="30.75" customHeight="1">
      <c r="A132" s="158"/>
      <c r="B132" s="326" t="str">
        <f>IF('Форма ввода'!D77="+",'Форма ввода'!C77," ")</f>
        <v>- Сырье куплено.</v>
      </c>
      <c r="C132" s="326"/>
      <c r="D132" s="326"/>
      <c r="E132" s="326"/>
      <c r="F132" s="326"/>
      <c r="G132" s="326"/>
      <c r="H132" s="326"/>
      <c r="I132" s="326"/>
      <c r="J132" s="326"/>
      <c r="K132" s="326"/>
      <c r="L132" s="326"/>
      <c r="M132" s="326"/>
      <c r="N132" s="326"/>
      <c r="O132" s="326"/>
      <c r="P132" s="326"/>
    </row>
    <row r="133" spans="1:16" ht="30.75" customHeight="1">
      <c r="A133" s="158"/>
      <c r="B133" s="326" t="str">
        <f>IF('Форма ввода'!D78="+",'Форма ввода'!C78," ")</f>
        <v>- Заказ произведен/готов к отгрузке.</v>
      </c>
      <c r="C133" s="326"/>
      <c r="D133" s="326"/>
      <c r="E133" s="326"/>
      <c r="F133" s="326"/>
      <c r="G133" s="326"/>
      <c r="H133" s="326"/>
      <c r="I133" s="326"/>
      <c r="J133" s="326"/>
      <c r="K133" s="326"/>
      <c r="L133" s="326"/>
      <c r="M133" s="326"/>
      <c r="N133" s="326"/>
      <c r="O133" s="326"/>
      <c r="P133" s="326"/>
    </row>
    <row r="134" spans="1:16" ht="30.6">
      <c r="A134" s="158"/>
      <c r="B134" s="326" t="str">
        <f>IF('Форма ввода'!D79="+",'Форма ввода'!C79," ")</f>
        <v>- Отгружено.</v>
      </c>
      <c r="C134" s="326"/>
      <c r="D134" s="326"/>
      <c r="E134" s="326"/>
      <c r="F134" s="326"/>
      <c r="G134" s="326"/>
      <c r="H134" s="326"/>
      <c r="I134" s="326"/>
      <c r="J134" s="326"/>
      <c r="K134" s="326"/>
      <c r="L134" s="326"/>
      <c r="M134" s="326"/>
      <c r="N134" s="326"/>
      <c r="O134" s="326"/>
      <c r="P134" s="326"/>
    </row>
    <row r="135" spans="1:16" ht="30.75" customHeight="1">
      <c r="A135" s="158"/>
      <c r="B135" s="326" t="str">
        <f>IF('Форма ввода'!D80="+",'Форма ввода'!C80," ")</f>
        <v>- Погружено на судно.</v>
      </c>
      <c r="C135" s="326"/>
      <c r="D135" s="326"/>
      <c r="E135" s="326"/>
      <c r="F135" s="326"/>
      <c r="G135" s="326"/>
      <c r="H135" s="326"/>
      <c r="I135" s="326"/>
      <c r="J135" s="326"/>
      <c r="K135" s="326"/>
      <c r="L135" s="326"/>
      <c r="M135" s="326"/>
      <c r="N135" s="326"/>
      <c r="O135" s="326"/>
      <c r="P135" s="326"/>
    </row>
    <row r="136" spans="1:16" ht="30.75" customHeight="1">
      <c r="A136" s="158"/>
      <c r="B136" s="326" t="str">
        <f>IF('Форма ввода'!D81="+",'Форма ввода'!C81," ")</f>
        <v>- Погружен на авто.</v>
      </c>
      <c r="C136" s="326"/>
      <c r="D136" s="326"/>
      <c r="E136" s="326"/>
      <c r="F136" s="326"/>
      <c r="G136" s="326"/>
      <c r="H136" s="326"/>
      <c r="I136" s="326"/>
      <c r="J136" s="326"/>
      <c r="K136" s="326"/>
      <c r="L136" s="326"/>
      <c r="M136" s="326"/>
      <c r="N136" s="326"/>
      <c r="O136" s="326"/>
      <c r="P136" s="326"/>
    </row>
    <row r="137" spans="1:16" ht="30.75" customHeight="1">
      <c r="A137" s="158"/>
      <c r="B137" s="326" t="str">
        <f>IF('Форма ввода'!D82="+",'Форма ввода'!C82," ")</f>
        <v>- Прибыл на таможню.</v>
      </c>
      <c r="C137" s="326"/>
      <c r="D137" s="326"/>
      <c r="E137" s="326"/>
      <c r="F137" s="326"/>
      <c r="G137" s="326"/>
      <c r="H137" s="326"/>
      <c r="I137" s="326"/>
      <c r="J137" s="326"/>
      <c r="K137" s="326"/>
      <c r="L137" s="326"/>
      <c r="M137" s="326"/>
      <c r="N137" s="326"/>
      <c r="O137" s="326"/>
      <c r="P137" s="326"/>
    </row>
    <row r="138" spans="1:16" ht="30.6">
      <c r="A138" s="158"/>
      <c r="B138" s="326" t="str">
        <f>IF('Форма ввода'!D83="+",'Форма ввода'!C83," ")</f>
        <v>- Растаможен.</v>
      </c>
      <c r="C138" s="326"/>
      <c r="D138" s="326"/>
      <c r="E138" s="326"/>
      <c r="F138" s="326"/>
      <c r="G138" s="326"/>
      <c r="H138" s="326"/>
      <c r="I138" s="326"/>
      <c r="J138" s="326"/>
      <c r="K138" s="326"/>
      <c r="L138" s="326"/>
      <c r="M138" s="326"/>
      <c r="N138" s="326"/>
      <c r="O138" s="326"/>
      <c r="P138" s="326"/>
    </row>
    <row r="139" spans="1:16" ht="30.75" customHeight="1">
      <c r="A139" s="158"/>
      <c r="B139" s="326" t="str">
        <f>IF('Форма ввода'!D84="+",'Форма ввода'!C84," ")</f>
        <v>- Погружен на поезд/авто.</v>
      </c>
      <c r="C139" s="326"/>
      <c r="D139" s="326"/>
      <c r="E139" s="326"/>
      <c r="F139" s="326"/>
      <c r="G139" s="326"/>
      <c r="H139" s="326"/>
      <c r="I139" s="326"/>
      <c r="J139" s="326"/>
      <c r="K139" s="326"/>
      <c r="L139" s="326"/>
      <c r="M139" s="326"/>
      <c r="N139" s="326"/>
      <c r="O139" s="326"/>
      <c r="P139" s="326"/>
    </row>
    <row r="140" spans="1:16" ht="51.75" customHeight="1">
      <c r="A140" s="158"/>
      <c r="B140" s="326" t="str">
        <f>IF('Форма ввода'!D85="+",'Форма ввода'!C85," ")</f>
        <v>- Доставлен.</v>
      </c>
      <c r="C140" s="326"/>
      <c r="D140" s="326"/>
      <c r="E140" s="326"/>
      <c r="F140" s="326"/>
      <c r="G140" s="326"/>
      <c r="H140" s="326"/>
      <c r="I140" s="326"/>
      <c r="J140" s="326"/>
      <c r="K140" s="326"/>
      <c r="L140" s="326"/>
      <c r="M140" s="326"/>
      <c r="N140" s="326"/>
      <c r="O140" s="326"/>
      <c r="P140" s="326"/>
    </row>
    <row r="141" spans="1:16" ht="146.25" customHeight="1">
      <c r="A141" s="158"/>
      <c r="B141" s="318" t="str">
        <f>IF('Форма ввода'!D86="+",'Форма ввода'!C86," ")</f>
        <v>При исполнении настоящего дополнительного соглашения допускается отклонение от согласованного Сторонами количества Товара (толеранс) в пределах +/-0% по отдельным позициям. 
При наличии расхождений по количеству Товара в пределах толеранса Сторонами производится доплата или возврат денежных средств не позднее 30 (тридцати) дней с даты поставки Товара.</v>
      </c>
      <c r="C141" s="318"/>
      <c r="D141" s="318"/>
      <c r="E141" s="318"/>
      <c r="F141" s="318"/>
      <c r="G141" s="318"/>
      <c r="H141" s="318"/>
      <c r="I141" s="318"/>
      <c r="J141" s="318"/>
      <c r="K141" s="318"/>
      <c r="L141" s="318"/>
      <c r="M141" s="318"/>
      <c r="N141" s="318"/>
      <c r="O141" s="318"/>
      <c r="P141" s="318"/>
    </row>
    <row r="142" spans="1:16" ht="264.60000000000002" customHeight="1">
      <c r="A142" s="158"/>
      <c r="B142" s="327" t="str">
        <f>IF('Форма ввода'!D88="+",'Форма ввода'!C88," ")</f>
        <v>В соответствии со ст. 429.3 ГК РФ Покупатель вправе в срок до 00 января 1900 года потребовать от Поставщика поставить дополнительный объем Товара, указанного в п. 1 настоящего дополнительного соглашения, в пределах 0% от количества, согласованного в настоящем дополнительном соглашении по каждой позиции. Требование Покупателя о поставке дополнительного объема Товара будет считаться заявленным в пределах указанного в настоящем пункте срока,если требование о поставке Товара будет отправлено Покупателем в адрес Поставщика до истечения предусмотренного настоящим пунктом срока. Настоящим стороны пришли к соглашению, что стоимость права требования Покупателя, предусмотренного настоящим пунктом, включена в стоимость Товара, указанную в настоящем дополнительном соглашении. В случае предъявления Покупателем требования, предусмотренного настоящим пунктом, Поставщик обязан в течение  календарных дней с даты направления Покупателем этого требования поставить Покупателю указанное в требовании Покупателя количество Товара по цене, не выше согласованной в п. 1 настоящего дополнительного соглашения цены и на условиях, предусмотренных Договором, а также настоящим дополнительным соглашением.</v>
      </c>
      <c r="C142" s="327"/>
      <c r="D142" s="327"/>
      <c r="E142" s="327"/>
      <c r="F142" s="327"/>
      <c r="G142" s="327"/>
      <c r="H142" s="327"/>
      <c r="I142" s="327"/>
      <c r="J142" s="327"/>
      <c r="K142" s="327"/>
      <c r="L142" s="327"/>
      <c r="M142" s="327"/>
      <c r="N142" s="327"/>
      <c r="O142" s="327"/>
      <c r="P142" s="327"/>
    </row>
    <row r="143" spans="1:16" ht="0.95" hidden="1" customHeight="1">
      <c r="A143" s="158"/>
      <c r="B143" s="318" t="str">
        <f>IF('Форма ввода'!D92="+",'Форма ввода'!C92," ")</f>
        <v xml:space="preserve"> </v>
      </c>
      <c r="C143" s="318"/>
      <c r="D143" s="318"/>
      <c r="E143" s="318"/>
      <c r="F143" s="318"/>
      <c r="G143" s="318"/>
      <c r="H143" s="318"/>
      <c r="I143" s="318"/>
      <c r="J143" s="318"/>
      <c r="K143" s="318"/>
      <c r="L143" s="318"/>
      <c r="M143" s="318"/>
      <c r="N143" s="318"/>
      <c r="O143" s="318"/>
      <c r="P143" s="318"/>
    </row>
    <row r="144" spans="1:16" ht="83.25" customHeight="1">
      <c r="A144" s="158"/>
      <c r="B144" s="327" t="str">
        <f>IF('Форма ввода'!D93="+",'Форма ввода'!C93," ")</f>
        <v>В случае законодательного изменения (уменьшения или увеличения) ставки НДС цена Товара изменяется (уменьшается или увеличивается) на соответствующую сумму изменения ставки НДС.</v>
      </c>
      <c r="C144" s="327"/>
      <c r="D144" s="327"/>
      <c r="E144" s="327"/>
      <c r="F144" s="327"/>
      <c r="G144" s="327"/>
      <c r="H144" s="327"/>
      <c r="I144" s="327"/>
      <c r="J144" s="327"/>
      <c r="K144" s="327"/>
      <c r="L144" s="327"/>
      <c r="M144" s="327"/>
      <c r="N144" s="327"/>
      <c r="O144" s="327"/>
      <c r="P144" s="327"/>
    </row>
    <row r="145" spans="1:17" ht="96.2" customHeight="1">
      <c r="A145" s="158"/>
      <c r="B145" s="318" t="str">
        <f>IF(LEN('Форма ввода'!C9)&gt;0,"В товарной накладной или УПД в строке «Основание» Поставщик обязан указывать после номера договорного документа в круглых скобках номера ДД и РО через запятую,"&amp;" указанные в соответствующем договорном документе (указаны в верхнем правом углу договорного документа либо перед таблицей с перечнем поставляемых Товаров)."&amp;" Под номером ДД Стороны понимают номер договорного документа, начинающийся на цифру " &amp; LEFT('Форма ввода'!C9,2) &amp; " и содержащий " &amp; LEN('Форма ввода'!C79) &amp; " знаков. Под номером PO Стороны понимают номер заказа на поставку (purchase order), начинающийся на цифру 45 и содержащий 10 знаков.","В товарной накладной или УПД в строке «Основание» Поставщик обязан указывать после номера договорного документа в круглых скобках номер РО,"&amp;" указанный в соответствующем договорном документе (указаны в верхнем правом углу договорного документа либо перед таблицей с перечнем поставляемых Товаров)."&amp;" Под номером PO Стороны понимают номер заказа на поставку (purchase order), начинающийся на цифру 00 и содержащий 11 знаков.")</f>
        <v>В товарной накладной или УПД в строке «Основание» Поставщик обязан указывать после номера договорного документа в круглых скобках номер РО, указанный в соответствующем договорном документе (указаны в верхнем правом углу договорного документа либо перед таблицей с перечнем поставляемых Товаров). Под номером PO Стороны понимают номер заказа на поставку (purchase order), начинающийся на цифру 00 и содержащий 11 знаков.</v>
      </c>
      <c r="C145" s="318"/>
      <c r="D145" s="318"/>
      <c r="E145" s="318"/>
      <c r="F145" s="318"/>
      <c r="G145" s="318"/>
      <c r="H145" s="318"/>
      <c r="I145" s="318"/>
      <c r="J145" s="318"/>
      <c r="K145" s="318"/>
      <c r="L145" s="318"/>
      <c r="M145" s="318"/>
      <c r="N145" s="318"/>
      <c r="O145" s="318"/>
      <c r="P145" s="318"/>
    </row>
    <row r="146" spans="1:17" ht="40.700000000000003" customHeight="1">
      <c r="A146" s="158"/>
      <c r="B146" s="318" t="s">
        <v>46</v>
      </c>
      <c r="C146" s="318"/>
      <c r="D146" s="318"/>
      <c r="E146" s="318"/>
      <c r="F146" s="318"/>
      <c r="G146" s="318"/>
      <c r="H146" s="318"/>
      <c r="I146" s="318"/>
      <c r="J146" s="318"/>
      <c r="K146" s="318"/>
      <c r="L146" s="318"/>
      <c r="M146" s="318"/>
      <c r="N146" s="318"/>
      <c r="O146" s="318"/>
      <c r="P146" s="318"/>
    </row>
    <row r="147" spans="1:17" ht="134.25" customHeight="1">
      <c r="A147" s="158"/>
      <c r="B147" s="318" t="str">
        <f>"В случае обмена первичными документами с использованием электронного документооборота:" &amp; CHAR(10) &amp; "-применяется Счет-фактура и документ об отгрузке товаров (выполнении работ), передаче имущественных прав (документ об оказании услуг) с функцией СЧФДОП, " &amp; "соответствующий универсальному передаточному документу (УПД), согласно форматам, утвержденным Приказом ФНС России" &amp; CHAR(10) &amp; "-номер" &amp; IF(LEN('Форма ввода'!C9)&gt;0,"а ДД и "," ")&amp; "РО указываются в соответствующих тегах XML-файла:"</f>
        <v>В случае обмена первичными документами с использованием электронного документооборота:
-применяется Счет-фактура и документ об отгрузке товаров (выполнении работ), передаче имущественных прав (документ об оказании услуг) с функцией СЧФДОП, соответствующий универсальному передаточному документу (УПД), согласно форматам, утвержденным Приказом ФНС России
-номер РО указываются в соответствующих тегах XML-файла:</v>
      </c>
      <c r="C147" s="318"/>
      <c r="D147" s="318"/>
      <c r="E147" s="318"/>
      <c r="F147" s="318"/>
      <c r="G147" s="318"/>
      <c r="H147" s="318"/>
      <c r="I147" s="318"/>
      <c r="J147" s="318"/>
      <c r="K147" s="318"/>
      <c r="L147" s="318"/>
      <c r="M147" s="318"/>
      <c r="N147" s="318"/>
      <c r="O147" s="318"/>
      <c r="P147" s="318"/>
    </row>
    <row r="148" spans="1:17" ht="83.25" customHeight="1">
      <c r="A148" s="158"/>
      <c r="B148" s="313" t="s">
        <v>47</v>
      </c>
      <c r="C148" s="313" t="s">
        <v>48</v>
      </c>
      <c r="D148" s="313" t="s">
        <v>49</v>
      </c>
      <c r="E148" s="319" t="s">
        <v>50</v>
      </c>
      <c r="F148" s="320"/>
      <c r="G148" s="320"/>
      <c r="H148" s="320"/>
      <c r="I148" s="320"/>
      <c r="J148" s="320"/>
      <c r="K148" s="321"/>
      <c r="L148" s="168"/>
      <c r="M148" s="168"/>
      <c r="N148" s="168"/>
      <c r="O148" s="168"/>
      <c r="P148" s="168"/>
    </row>
    <row r="149" spans="1:17" ht="83.25" customHeight="1">
      <c r="A149" s="158"/>
      <c r="B149" s="314" t="s">
        <v>51</v>
      </c>
      <c r="C149" s="314" t="s">
        <v>52</v>
      </c>
      <c r="D149" s="314" t="s">
        <v>53</v>
      </c>
      <c r="E149" s="322" t="e">
        <f>"ДОГОВОР" &amp; CHAR(10) &amp; "N(" &amp; LEN('Форма ввода'!C9) &amp; "), вида " &amp; LEFT('Форма ввода'!C9,2) &amp; REPT("*",LEN('Форма ввода'!C9)-2)</f>
        <v>#VALUE!</v>
      </c>
      <c r="F149" s="323"/>
      <c r="G149" s="323"/>
      <c r="H149" s="323"/>
      <c r="I149" s="323"/>
      <c r="J149" s="323"/>
      <c r="K149" s="324"/>
      <c r="L149" s="168"/>
      <c r="M149" s="168"/>
      <c r="N149" s="168"/>
      <c r="O149" s="168"/>
      <c r="P149" s="168"/>
    </row>
    <row r="150" spans="1:17" ht="83.25" customHeight="1">
      <c r="A150" s="158"/>
      <c r="B150" s="315" t="s">
        <v>54</v>
      </c>
      <c r="C150" s="314" t="s">
        <v>52</v>
      </c>
      <c r="D150" s="314" t="s">
        <v>53</v>
      </c>
      <c r="E150" s="322" t="str">
        <f>"ЗАКАЗ" &amp; CHAR(10) &amp; IF(LEN('Форма ввода'!C9)&gt;0,"N(10), вида 45******** ","N(11), вида 00*********")</f>
        <v>ЗАКАЗ
N(11), вида 00*********</v>
      </c>
      <c r="F150" s="323"/>
      <c r="G150" s="323"/>
      <c r="H150" s="323"/>
      <c r="I150" s="323"/>
      <c r="J150" s="323"/>
      <c r="K150" s="324"/>
      <c r="L150" s="168"/>
      <c r="M150" s="168"/>
      <c r="N150" s="168"/>
      <c r="O150" s="168"/>
      <c r="P150" s="168"/>
    </row>
    <row r="151" spans="1:17" ht="83.25" customHeight="1">
      <c r="A151" s="158"/>
      <c r="B151" s="316" t="s">
        <v>55</v>
      </c>
      <c r="C151" s="317"/>
      <c r="D151" s="317"/>
      <c r="E151" s="317"/>
      <c r="F151" s="317"/>
      <c r="G151" s="317"/>
      <c r="H151" s="317"/>
      <c r="I151" s="317"/>
      <c r="J151" s="317"/>
      <c r="K151" s="317"/>
      <c r="L151" s="317"/>
      <c r="M151" s="317"/>
      <c r="N151" s="317"/>
      <c r="O151" s="317"/>
      <c r="P151" s="317"/>
    </row>
    <row r="152" spans="1:17" ht="115.9" customHeight="1">
      <c r="A152" s="158"/>
      <c r="B152" s="318" t="s">
        <v>56</v>
      </c>
      <c r="C152" s="318"/>
      <c r="D152" s="318"/>
      <c r="E152" s="318"/>
      <c r="F152" s="318"/>
      <c r="G152" s="318"/>
      <c r="H152" s="318"/>
      <c r="I152" s="318"/>
      <c r="J152" s="318"/>
      <c r="K152" s="318"/>
      <c r="L152" s="318"/>
      <c r="M152" s="318"/>
      <c r="N152" s="318"/>
      <c r="O152" s="318"/>
      <c r="P152" s="318"/>
    </row>
    <row r="153" spans="1:17" ht="110.25" customHeight="1">
      <c r="A153" s="158" t="str">
        <f>IF('Форма ввода'!C55="нет","13.","14.")</f>
        <v>14.</v>
      </c>
      <c r="B153" s="327" t="str">
        <f>CONCATENATE("Во всем остальном, что не предусмотрено настоящим дополнительным соглашением, действуют условия Договора поставки №",'Форма ввода'!C4," от ",TEXT(DAY('Форма ввода'!C5),"00")&amp;" "&amp;VLOOKUP(MONTH('Форма ввода'!C5),Справочник!$D$2:$E$13,2,0)&amp;" "&amp;YEAR('Форма ввода'!C5)&amp;" г.","Настоящее Дополнительное соглашение является неотъемлемой частью Договора и вступает в силу с момента его подписания Сторонами.")</f>
        <v>Во всем остальном, что не предусмотрено настоящим дополнительным соглашением, действуют условия Договора поставки № от 00 января 1900 г.Настоящее Дополнительное соглашение является неотъемлемой частью Договора и вступает в силу с момента его подписания Сторонами.</v>
      </c>
      <c r="C153" s="327"/>
      <c r="D153" s="327"/>
      <c r="E153" s="327"/>
      <c r="F153" s="327"/>
      <c r="G153" s="327"/>
      <c r="H153" s="327"/>
      <c r="I153" s="327"/>
      <c r="J153" s="327"/>
      <c r="K153" s="327"/>
      <c r="L153" s="327"/>
      <c r="M153" s="327"/>
      <c r="N153" s="327"/>
      <c r="O153" s="327"/>
      <c r="P153" s="327"/>
    </row>
    <row r="154" spans="1:17" ht="30.6">
      <c r="A154" s="158" t="str">
        <f>IF('Форма ввода'!C95="нет","",IF('Форма ввода'!C55="нет","14.","15."))</f>
        <v/>
      </c>
      <c r="B154" s="327" t="str">
        <f>IF('Форма ввода'!C95="нет","",CONCATENATE("Перечень Приложений к настоящему Дополнительному Соглашению:
",'Форма ввода'!C96))</f>
        <v/>
      </c>
      <c r="C154" s="327"/>
      <c r="D154" s="327"/>
      <c r="E154" s="327"/>
      <c r="F154" s="327"/>
      <c r="G154" s="327"/>
      <c r="H154" s="327"/>
      <c r="I154" s="327"/>
      <c r="J154" s="327"/>
      <c r="K154" s="327"/>
      <c r="L154" s="327"/>
      <c r="M154" s="327"/>
      <c r="N154" s="327"/>
      <c r="O154" s="327"/>
      <c r="P154" s="327"/>
      <c r="Q154" s="131"/>
    </row>
    <row r="155" spans="1:17" ht="30.6">
      <c r="A155" s="158"/>
      <c r="B155" s="165"/>
      <c r="C155" s="165"/>
      <c r="D155" s="165"/>
      <c r="E155" s="165"/>
      <c r="F155" s="165"/>
      <c r="G155" s="165"/>
      <c r="H155" s="165"/>
      <c r="I155" s="165"/>
      <c r="J155" s="165"/>
      <c r="K155" s="165"/>
      <c r="L155" s="165"/>
      <c r="M155" s="165"/>
      <c r="N155" s="165"/>
      <c r="O155" s="165"/>
      <c r="P155" s="165"/>
    </row>
    <row r="156" spans="1:17" ht="93.75" customHeight="1">
      <c r="A156" s="158"/>
      <c r="B156" s="327" t="s">
        <v>57</v>
      </c>
      <c r="C156" s="327"/>
      <c r="D156" s="327"/>
      <c r="E156" s="327"/>
      <c r="F156" s="327"/>
      <c r="G156" s="327"/>
      <c r="H156" s="327"/>
      <c r="I156" s="327"/>
      <c r="J156" s="327"/>
      <c r="K156" s="327"/>
      <c r="L156" s="327"/>
      <c r="M156" s="327"/>
      <c r="N156" s="327"/>
      <c r="O156" s="327"/>
      <c r="P156" s="327"/>
    </row>
    <row r="157" spans="1:17" ht="30">
      <c r="A157" s="325" t="str">
        <f>IF(AND('Форма ввода'!C55="нет",'Форма ввода'!C95="нет"),"14. Подписи Сторон",IF(OR('Форма ввода'!C55="нет",'Форма ввода'!C95="нет"),"15. Подписи Сторон","16. Подписи Сторон"))</f>
        <v>15. Подписи Сторон</v>
      </c>
      <c r="B157" s="325"/>
      <c r="C157" s="325"/>
      <c r="D157" s="325"/>
      <c r="E157" s="325"/>
      <c r="F157" s="325"/>
      <c r="G157" s="325"/>
      <c r="H157" s="325"/>
      <c r="I157" s="325"/>
      <c r="J157" s="325"/>
      <c r="K157" s="325"/>
      <c r="L157" s="325"/>
      <c r="M157" s="325"/>
      <c r="N157" s="325"/>
      <c r="O157" s="325"/>
      <c r="P157" s="325"/>
    </row>
    <row r="158" spans="1:17" ht="30.6">
      <c r="A158" s="151"/>
      <c r="B158" s="152"/>
      <c r="C158" s="152"/>
      <c r="D158" s="152"/>
      <c r="E158" s="152"/>
      <c r="F158" s="152"/>
      <c r="G158" s="166"/>
      <c r="H158" s="166"/>
      <c r="I158" s="166"/>
      <c r="J158" s="166"/>
      <c r="K158" s="166"/>
      <c r="L158" s="166"/>
      <c r="M158" s="166"/>
      <c r="N158" s="166"/>
      <c r="O158" s="166"/>
      <c r="P158" s="166"/>
    </row>
    <row r="159" spans="1:17" ht="30.6">
      <c r="A159" s="151"/>
      <c r="B159" s="344" t="s">
        <v>58</v>
      </c>
      <c r="C159" s="344"/>
      <c r="D159" s="344"/>
      <c r="E159" s="344"/>
      <c r="F159" s="344"/>
      <c r="G159" s="344"/>
      <c r="H159" s="344"/>
      <c r="I159" s="344" t="s">
        <v>59</v>
      </c>
      <c r="J159" s="344"/>
      <c r="K159" s="344"/>
      <c r="L159" s="344"/>
      <c r="M159" s="344"/>
      <c r="N159" s="344"/>
      <c r="O159" s="344"/>
      <c r="P159" s="344"/>
    </row>
    <row r="160" spans="1:17" ht="30.6">
      <c r="A160" s="151"/>
      <c r="B160" s="348">
        <f>'Форма ввода'!C13</f>
        <v>0</v>
      </c>
      <c r="C160" s="349"/>
      <c r="D160" s="349"/>
      <c r="E160" s="349"/>
      <c r="F160" s="349"/>
      <c r="G160" s="349"/>
      <c r="H160" s="350"/>
      <c r="I160" s="348" t="str">
        <f>VLOOKUP('Форма ввода'!C11,Справочник!A2:C97,2,FALSE)</f>
        <v>(Выпадающий список)</v>
      </c>
      <c r="J160" s="349"/>
      <c r="K160" s="349"/>
      <c r="L160" s="349"/>
      <c r="M160" s="349"/>
      <c r="N160" s="349"/>
      <c r="O160" s="349"/>
      <c r="P160" s="350"/>
    </row>
    <row r="161" spans="1:16" ht="30.6">
      <c r="A161" s="151"/>
      <c r="B161" s="351" t="str">
        <f>CONCATENATE("ИНН ",'Форма ввода'!C101)</f>
        <v xml:space="preserve">ИНН </v>
      </c>
      <c r="C161" s="340"/>
      <c r="D161" s="340"/>
      <c r="E161" s="340"/>
      <c r="F161" s="340"/>
      <c r="G161" s="340"/>
      <c r="H161" s="352"/>
      <c r="I161" s="351" t="str">
        <f>CONCATENATE("ИНН ",'Форма ввода'!C113)</f>
        <v xml:space="preserve">ИНН </v>
      </c>
      <c r="J161" s="340"/>
      <c r="K161" s="340"/>
      <c r="L161" s="340"/>
      <c r="M161" s="340"/>
      <c r="N161" s="340"/>
      <c r="O161" s="340"/>
      <c r="P161" s="352"/>
    </row>
    <row r="162" spans="1:16" ht="30.6">
      <c r="A162" s="151"/>
      <c r="B162" s="351" t="str">
        <f>CONCATENATE("КПП ",'Форма ввода'!C102)</f>
        <v xml:space="preserve">КПП </v>
      </c>
      <c r="C162" s="340"/>
      <c r="D162" s="340"/>
      <c r="E162" s="340"/>
      <c r="F162" s="340"/>
      <c r="G162" s="340"/>
      <c r="H162" s="352"/>
      <c r="I162" s="351" t="str">
        <f>CONCATENATE("КПП ",'Форма ввода'!C114)</f>
        <v xml:space="preserve">КПП </v>
      </c>
      <c r="J162" s="340"/>
      <c r="K162" s="340"/>
      <c r="L162" s="340"/>
      <c r="M162" s="340"/>
      <c r="N162" s="340"/>
      <c r="O162" s="340"/>
      <c r="P162" s="352"/>
    </row>
    <row r="163" spans="1:16" ht="30.6">
      <c r="A163" s="151"/>
      <c r="B163" s="305" t="str">
        <f>CONCATENATE("ОГРН ",'Форма ввода'!C107)</f>
        <v xml:space="preserve">ОГРН </v>
      </c>
      <c r="C163" s="304"/>
      <c r="D163" s="304"/>
      <c r="E163" s="304"/>
      <c r="F163" s="304"/>
      <c r="G163" s="304"/>
      <c r="H163" s="306"/>
      <c r="I163" s="305" t="str">
        <f>CONCATENATE("ОГРН ",'Форма ввода'!C119)</f>
        <v xml:space="preserve">ОГРН </v>
      </c>
      <c r="J163" s="304"/>
      <c r="K163" s="304"/>
      <c r="L163" s="304"/>
      <c r="M163" s="304"/>
      <c r="N163" s="304"/>
      <c r="O163" s="304"/>
      <c r="P163" s="306"/>
    </row>
    <row r="164" spans="1:16" s="80" customFormat="1" ht="30.75" customHeight="1">
      <c r="A164" s="167"/>
      <c r="B164" s="353" t="s">
        <v>60</v>
      </c>
      <c r="C164" s="354"/>
      <c r="D164" s="354"/>
      <c r="E164" s="354"/>
      <c r="F164" s="354"/>
      <c r="G164" s="354"/>
      <c r="H164" s="355"/>
      <c r="I164" s="353" t="s">
        <v>60</v>
      </c>
      <c r="J164" s="354"/>
      <c r="K164" s="354"/>
      <c r="L164" s="354"/>
      <c r="M164" s="354"/>
      <c r="N164" s="354"/>
      <c r="O164" s="354"/>
      <c r="P164" s="355"/>
    </row>
    <row r="165" spans="1:16" s="107" customFormat="1" ht="53.85" customHeight="1">
      <c r="A165" s="160"/>
      <c r="B165" s="351" t="str">
        <f>CONCATENATE("Наименование банка: ",'Форма ввода'!C103)</f>
        <v xml:space="preserve">Наименование банка: </v>
      </c>
      <c r="C165" s="340"/>
      <c r="D165" s="340"/>
      <c r="E165" s="340"/>
      <c r="F165" s="340"/>
      <c r="G165" s="340"/>
      <c r="H165" s="352"/>
      <c r="I165" s="351" t="str">
        <f>CONCATENATE("Наименование банка: ",'Форма ввода'!C115)</f>
        <v xml:space="preserve">Наименование банка: </v>
      </c>
      <c r="J165" s="340"/>
      <c r="K165" s="340"/>
      <c r="L165" s="340"/>
      <c r="M165" s="340"/>
      <c r="N165" s="340"/>
      <c r="O165" s="340"/>
      <c r="P165" s="352"/>
    </row>
    <row r="166" spans="1:16" ht="61.5" customHeight="1">
      <c r="A166" s="151"/>
      <c r="B166" s="351" t="str">
        <f>CONCATENATE("р/счет: ",'Форма ввода'!C104)</f>
        <v xml:space="preserve">р/счет: </v>
      </c>
      <c r="C166" s="340"/>
      <c r="D166" s="340"/>
      <c r="E166" s="340"/>
      <c r="F166" s="340"/>
      <c r="G166" s="340"/>
      <c r="H166" s="352"/>
      <c r="I166" s="351" t="str">
        <f>CONCATENATE("р/счет: ",'Форма ввода'!C116)</f>
        <v xml:space="preserve">р/счет: </v>
      </c>
      <c r="J166" s="340"/>
      <c r="K166" s="340"/>
      <c r="L166" s="340"/>
      <c r="M166" s="340"/>
      <c r="N166" s="340"/>
      <c r="O166" s="340"/>
      <c r="P166" s="352"/>
    </row>
    <row r="167" spans="1:16" ht="30.6">
      <c r="A167" s="151"/>
      <c r="B167" s="356" t="str">
        <f>CONCATENATE("БИК: ",'Форма ввода'!C105)</f>
        <v xml:space="preserve">БИК: </v>
      </c>
      <c r="C167" s="357"/>
      <c r="D167" s="357"/>
      <c r="E167" s="357"/>
      <c r="F167" s="357"/>
      <c r="G167" s="357"/>
      <c r="H167" s="358"/>
      <c r="I167" s="351" t="str">
        <f>CONCATENATE("БИК: ",'Форма ввода'!C117)</f>
        <v xml:space="preserve">БИК: </v>
      </c>
      <c r="J167" s="340"/>
      <c r="K167" s="340"/>
      <c r="L167" s="340"/>
      <c r="M167" s="340"/>
      <c r="N167" s="340"/>
      <c r="O167" s="340"/>
      <c r="P167" s="352"/>
    </row>
    <row r="168" spans="1:16" ht="61.5" customHeight="1">
      <c r="A168" s="151"/>
      <c r="B168" s="351" t="str">
        <f>CONCATENATE("к/счет: ",'Форма ввода'!C106)</f>
        <v xml:space="preserve">к/счет: </v>
      </c>
      <c r="C168" s="340"/>
      <c r="D168" s="340"/>
      <c r="E168" s="340"/>
      <c r="F168" s="340"/>
      <c r="G168" s="340"/>
      <c r="H168" s="352"/>
      <c r="I168" s="351" t="str">
        <f>CONCATENATE("к/счет: ",'Форма ввода'!C118)</f>
        <v xml:space="preserve">к/счет: </v>
      </c>
      <c r="J168" s="340"/>
      <c r="K168" s="340"/>
      <c r="L168" s="340"/>
      <c r="M168" s="340"/>
      <c r="N168" s="340"/>
      <c r="O168" s="340"/>
      <c r="P168" s="352"/>
    </row>
    <row r="169" spans="1:16" ht="60.75" customHeight="1">
      <c r="A169" s="151"/>
      <c r="B169" s="359" t="str">
        <f>CONCATENATE("__________________ / ",'Форма ввода'!C108," /")</f>
        <v>__________________ /  /</v>
      </c>
      <c r="C169" s="360"/>
      <c r="D169" s="360"/>
      <c r="E169" s="360"/>
      <c r="F169" s="360"/>
      <c r="G169" s="360"/>
      <c r="H169" s="361"/>
      <c r="I169" s="365" t="str">
        <f>IF('Форма ввода'!C121="Альтернативное подписание","___________________/___________________________/",CONCATENATE("___________________ / ",'Форма ввода'!C120," /"))</f>
        <v>___________________ /  /</v>
      </c>
      <c r="J169" s="366"/>
      <c r="K169" s="366"/>
      <c r="L169" s="366"/>
      <c r="M169" s="366"/>
      <c r="N169" s="366"/>
      <c r="O169" s="366"/>
      <c r="P169" s="367"/>
    </row>
    <row r="170" spans="1:16" ht="71.849999999999994" customHeight="1">
      <c r="A170" s="151"/>
      <c r="B170" s="362" t="str">
        <f>IFERROR(IF('Форма ввода'!C109="ИП","",
IF('Форма ввода'!C109="Договора управления",
CONCATENATE("на основании Договора управления № ",'Форма ввода'!C110," 
от ",TEXT(DAY('Форма ввода'!$C$111),"00")&amp;" "&amp;VLOOKUP(MONTH('Форма ввода'!$C$111),Справочник!$D$2:$E$13,2,0)&amp;" "&amp;YEAR('Форма ввода'!$C$111)&amp;" г. и устава."),
IF('Форма ввода'!C109="Устава",
CONCATENATE("на основании ",'Форма ввода'!C109,"."),
CONCATENATE("на основании ",'Форма ввода'!C109," № ",'Форма ввода'!C110," от ",TEXT(DAY('Форма ввода'!$C$111),"00")&amp;" "&amp;VLOOKUP(MONTH('Форма ввода'!$C$111),Справочник!$D$2:$E$13,2,0)&amp;" "&amp;YEAR('Форма ввода'!$C$111)&amp;" г.")))), "Дату на форме ввода необходимо вводить в формате ДД.ММ.ГГГГ")</f>
        <v>на основании (Выпадающий список) №  от 00 января 1900 г.</v>
      </c>
      <c r="C170" s="363"/>
      <c r="D170" s="363"/>
      <c r="E170" s="363"/>
      <c r="F170" s="363"/>
      <c r="G170" s="363"/>
      <c r="H170" s="364"/>
      <c r="I170" s="362" t="str">
        <f>IFERROR(IF('Форма ввода'!C121="Устава",
CONCATENATE("на основании ",'Форма ввода'!C121,"."),IF('Форма ввода'!C121="Альтернативное подписание"," ",
CONCATENATE("на основании ",'Форма ввода'!C121," № ",'Форма ввода'!C122," от ",TEXT(DAY('Форма ввода'!$C$123),"00")&amp;" "&amp;VLOOKUP(MONTH('Форма ввода'!$C$123),Справочник!$D$2:$E$13,2,0)&amp;" "&amp;YEAR('Форма ввода'!$C$123)&amp;" г."))), "Дату на форме ввода необходимо вводить в формате ДД.ММ.ГГГГ")</f>
        <v>на основании (Выпадающий список) №  от 00 января 1900 г.</v>
      </c>
      <c r="J170" s="363"/>
      <c r="K170" s="363"/>
      <c r="L170" s="363"/>
      <c r="M170" s="363"/>
      <c r="N170" s="363"/>
      <c r="O170" s="363"/>
      <c r="P170" s="364"/>
    </row>
    <row r="171" spans="1:16">
      <c r="B171" s="121"/>
      <c r="C171" s="109"/>
      <c r="D171" s="109"/>
      <c r="E171" s="109"/>
      <c r="F171" s="109"/>
      <c r="G171" s="109"/>
      <c r="H171" s="109"/>
      <c r="I171" s="109"/>
      <c r="J171" s="175" t="s">
        <v>61</v>
      </c>
      <c r="K171" s="109"/>
      <c r="L171" s="109"/>
    </row>
    <row r="172" spans="1:16">
      <c r="B172" s="121"/>
      <c r="K172" s="109"/>
      <c r="L172" s="109"/>
    </row>
  </sheetData>
  <sheetProtection algorithmName="SHA-512" hashValue="VrJHSze0yRhx1wQ2qYGNonSNB+ajNvyLmffID8+quyoWOZTFn4aYOUcnXz7M1AbTypFoWlVMbTH5biIRDP2p8Q==" saltValue="WMG/nyz9jSJRVcDDJsfI+g==" spinCount="100000" sheet="1" formatCells="0" formatColumns="0" formatRows="0" insertRows="0" deleteRows="0" sort="0" autoFilter="0"/>
  <autoFilter ref="A9:P9" xr:uid="{00000000-0009-0000-0000-000000000000}"/>
  <dataConsolidate/>
  <mergeCells count="90">
    <mergeCell ref="I166:P166"/>
    <mergeCell ref="I167:P167"/>
    <mergeCell ref="I168:P168"/>
    <mergeCell ref="I169:P169"/>
    <mergeCell ref="I170:P170"/>
    <mergeCell ref="I160:P160"/>
    <mergeCell ref="I161:P161"/>
    <mergeCell ref="I162:P162"/>
    <mergeCell ref="I164:P164"/>
    <mergeCell ref="I165:P165"/>
    <mergeCell ref="B166:H166"/>
    <mergeCell ref="B167:H167"/>
    <mergeCell ref="B168:H168"/>
    <mergeCell ref="B169:H169"/>
    <mergeCell ref="B170:H170"/>
    <mergeCell ref="B160:H160"/>
    <mergeCell ref="B161:H161"/>
    <mergeCell ref="B162:H162"/>
    <mergeCell ref="B164:H164"/>
    <mergeCell ref="B165:H165"/>
    <mergeCell ref="B159:H159"/>
    <mergeCell ref="I159:P159"/>
    <mergeCell ref="B48:P48"/>
    <mergeCell ref="B52:P52"/>
    <mergeCell ref="B124:P124"/>
    <mergeCell ref="B128:P128"/>
    <mergeCell ref="B133:P133"/>
    <mergeCell ref="B60:P60"/>
    <mergeCell ref="B61:P61"/>
    <mergeCell ref="B56:P56"/>
    <mergeCell ref="B58:P58"/>
    <mergeCell ref="B59:P59"/>
    <mergeCell ref="B62:P62"/>
    <mergeCell ref="B153:P153"/>
    <mergeCell ref="B92:P92"/>
    <mergeCell ref="B156:P156"/>
    <mergeCell ref="K1:P1"/>
    <mergeCell ref="K2:P2"/>
    <mergeCell ref="B54:P54"/>
    <mergeCell ref="B50:P50"/>
    <mergeCell ref="B8:P8"/>
    <mergeCell ref="B51:P51"/>
    <mergeCell ref="B53:P53"/>
    <mergeCell ref="B40:P40"/>
    <mergeCell ref="B7:P7"/>
    <mergeCell ref="M4:P4"/>
    <mergeCell ref="A5:P5"/>
    <mergeCell ref="A6:P6"/>
    <mergeCell ref="A1:B1"/>
    <mergeCell ref="B44:P44"/>
    <mergeCell ref="B45:P45"/>
    <mergeCell ref="B46:P46"/>
    <mergeCell ref="B130:P130"/>
    <mergeCell ref="B63:P63"/>
    <mergeCell ref="B64:P64"/>
    <mergeCell ref="B123:P123"/>
    <mergeCell ref="B120:P120"/>
    <mergeCell ref="B125:D125"/>
    <mergeCell ref="B127:D127"/>
    <mergeCell ref="B126:D126"/>
    <mergeCell ref="B42:P42"/>
    <mergeCell ref="B38:P38"/>
    <mergeCell ref="B129:P129"/>
    <mergeCell ref="B55:P55"/>
    <mergeCell ref="B57:P57"/>
    <mergeCell ref="B121:P121"/>
    <mergeCell ref="B122:P122"/>
    <mergeCell ref="A157:P157"/>
    <mergeCell ref="B132:P132"/>
    <mergeCell ref="B143:P143"/>
    <mergeCell ref="B131:P131"/>
    <mergeCell ref="B144:P144"/>
    <mergeCell ref="B134:P134"/>
    <mergeCell ref="B135:P135"/>
    <mergeCell ref="B136:P136"/>
    <mergeCell ref="B137:P137"/>
    <mergeCell ref="B138:P138"/>
    <mergeCell ref="B154:P154"/>
    <mergeCell ref="B141:P141"/>
    <mergeCell ref="B142:P142"/>
    <mergeCell ref="B139:P139"/>
    <mergeCell ref="B140:P140"/>
    <mergeCell ref="B145:P145"/>
    <mergeCell ref="B151:P151"/>
    <mergeCell ref="B152:P152"/>
    <mergeCell ref="B146:P146"/>
    <mergeCell ref="B147:P147"/>
    <mergeCell ref="E148:K148"/>
    <mergeCell ref="E149:K149"/>
    <mergeCell ref="E150:K150"/>
  </mergeCells>
  <conditionalFormatting sqref="B10:F34">
    <cfRule type="expression" dxfId="50" priority="15" stopIfTrue="1">
      <formula>$B10=1</formula>
    </cfRule>
    <cfRule type="expression" dxfId="49" priority="16" stopIfTrue="1">
      <formula>$B10=2</formula>
    </cfRule>
  </conditionalFormatting>
  <conditionalFormatting sqref="B63:P63">
    <cfRule type="cellIs" dxfId="48" priority="14" operator="equal">
      <formula>"Скройте пункт 13, 13.1, 13.2, 13.3."</formula>
    </cfRule>
  </conditionalFormatting>
  <conditionalFormatting sqref="Q44:Q46 A44:B46 A47:Q47 A49:Q51 A48:B48 Q48 A52:B52 Q52 A159:B170 I159:I170 Q159:Q170 A130:Q144 A157:Q158 A156:B156 Q156 A1:Q43 A53:Q123 A153:Q155 A145:A152 Q145:Q152">
    <cfRule type="containsText" dxfId="47" priority="13" operator="containsText" text="Выпадающий список">
      <formula>NOT(ISERROR(SEARCH("Выпадающий список",A1)))</formula>
    </cfRule>
  </conditionalFormatting>
  <conditionalFormatting sqref="B51:P51 B52">
    <cfRule type="containsText" dxfId="46" priority="12" operator="containsText" text="Выберите порядок оплаты">
      <formula>NOT(ISERROR(SEARCH("Выберите порядок оплаты",B51)))</formula>
    </cfRule>
  </conditionalFormatting>
  <conditionalFormatting sqref="A124:Q124 A128:Q128 A125:B127 E125:Q127">
    <cfRule type="containsText" dxfId="45" priority="11" operator="containsText" text="Выпадающий список">
      <formula>NOT(ISERROR(SEARCH("Выпадающий список",A124)))</formula>
    </cfRule>
  </conditionalFormatting>
  <conditionalFormatting sqref="A129 Q129">
    <cfRule type="containsText" dxfId="44" priority="10" operator="containsText" text="Выпадающий список">
      <formula>NOT(ISERROR(SEARCH("Выпадающий список",A129)))</formula>
    </cfRule>
  </conditionalFormatting>
  <conditionalFormatting sqref="B129:P129">
    <cfRule type="containsText" dxfId="43" priority="9" operator="containsText" text="Выпадающий список">
      <formula>NOT(ISERROR(SEARCH("Выпадающий список",B129)))</formula>
    </cfRule>
  </conditionalFormatting>
  <conditionalFormatting sqref="B170:P170">
    <cfRule type="containsText" dxfId="42" priority="8" operator="containsText" text="Дату на форме ввода">
      <formula>NOT(ISERROR(SEARCH("Дату на форме ввода",B170)))</formula>
    </cfRule>
  </conditionalFormatting>
  <conditionalFormatting sqref="B145:P152">
    <cfRule type="containsText" dxfId="41" priority="1" operator="containsText" text="(Выпадающий список)">
      <formula>NOT(ISERROR(SEARCH("(Выпадающий список)",B145)))</formula>
    </cfRule>
  </conditionalFormatting>
  <conditionalFormatting sqref="L148:P150 B145:B146 B152">
    <cfRule type="containsText" dxfId="40" priority="3" operator="containsText" text="Выпадающий список">
      <formula>NOT(ISERROR(SEARCH("Выпадающий список",B145)))</formula>
    </cfRule>
  </conditionalFormatting>
  <conditionalFormatting sqref="B147">
    <cfRule type="containsText" dxfId="39" priority="2" operator="containsText" text="Выпадающий список">
      <formula>NOT(ISERROR(SEARCH("Выпадающий список",B147)))</formula>
    </cfRule>
  </conditionalFormatting>
  <dataValidations count="5">
    <dataValidation allowBlank="1" showInputMessage="1" showErrorMessage="1" prompt="Введите дату" sqref="P10:P34" xr:uid="{00000000-0002-0000-0000-000000000000}"/>
    <dataValidation allowBlank="1" showInputMessage="1" showErrorMessage="1" prompt="Внесите данные на вкладку &quot;Форма ввода&quot;" sqref="B40 B54 B58 B56 C43 A6:P6 C41:P41 B50:P50 C47 B128" xr:uid="{00000000-0002-0000-0000-000001000000}"/>
    <dataValidation allowBlank="1" showInputMessage="1" showErrorMessage="1" prompt="Внесите данные на вкладку &quot;Форма ввода&quot; п.5" sqref="P9" xr:uid="{00000000-0002-0000-0000-000002000000}"/>
    <dataValidation allowBlank="1" showInputMessage="1" showErrorMessage="1" prompt="Внесите %, если МТР не облагается НДС, то &quot;Без НДС&quot;" sqref="L10:L34" xr:uid="{00000000-0002-0000-0000-000003000000}"/>
    <dataValidation allowBlank="1" showInputMessage="1" showErrorMessage="1" prompt="Внесите данные на вкладку &quot;Форма ввода&quot;_x000a_" sqref="A5:P5 B51:B52 C51:P51" xr:uid="{00000000-0002-0000-0000-000004000000}"/>
  </dataValidations>
  <pageMargins left="0.78740157480314965" right="0.39370078740157483" top="0.55118110236220474" bottom="0.78740157480314965" header="0.39370078740157483" footer="0.51181102362204722"/>
  <pageSetup paperSize="9" scale="37" fitToHeight="0" orientation="landscape" r:id="rId1"/>
  <headerFooter alignWithMargins="0">
    <oddHeader>&amp;R&amp;"Times New Roman,обычный"&amp;12ЕУФ_ДС_04_51_09</oddHeader>
  </headerFooter>
  <customProperties>
    <customPr name="EpmWorksheetKeyString_GUID" r:id="rId2"/>
  </customProperties>
  <extLst>
    <ext xmlns:x14="http://schemas.microsoft.com/office/spreadsheetml/2009/9/main" uri="{CCE6A557-97BC-4b89-ADB6-D9C93CAAB3DF}">
      <x14:dataValidations xmlns:xm="http://schemas.microsoft.com/office/excel/2006/main" count="1">
        <x14:dataValidation type="list" allowBlank="1" showInputMessage="1" showErrorMessage="1" prompt="Скройте столбец, если он полностью дублирует п.4" xr:uid="{00000000-0002-0000-0000-000005000000}">
          <x14:formula1>
            <xm:f>Справочник!$B$2:$B$38</xm:f>
          </x14:formula1>
          <xm:sqref>O10:O34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tabColor rgb="FF008080"/>
  </sheetPr>
  <dimension ref="A1:N123"/>
  <sheetViews>
    <sheetView showGridLines="0" zoomScale="85" zoomScaleNormal="85" workbookViewId="0" xr3:uid="{958C4451-9541-5A59-BF78-D2F731DF1C81}">
      <pane xSplit="2" ySplit="2" topLeftCell="C3" activePane="bottomRight" state="frozen"/>
      <selection pane="bottomRight"/>
      <selection pane="bottomLeft" activeCell="C21" sqref="C21"/>
      <selection pane="topRight" activeCell="C21" sqref="C21"/>
    </sheetView>
  </sheetViews>
  <sheetFormatPr defaultRowHeight="12.6" outlineLevelRow="1"/>
  <cols>
    <col min="1" max="1" width="7.5703125" style="26" customWidth="1"/>
    <col min="2" max="2" width="58.5703125" style="26" customWidth="1"/>
    <col min="3" max="3" width="127.42578125" style="26" customWidth="1"/>
    <col min="4" max="4" width="15.5703125" style="26" customWidth="1"/>
    <col min="5" max="9" width="9.140625" style="26"/>
  </cols>
  <sheetData>
    <row r="1" spans="1:9" ht="25.5" customHeight="1">
      <c r="B1" s="27" t="s">
        <v>62</v>
      </c>
    </row>
    <row r="2" spans="1:9" s="3" customFormat="1" ht="25.5" customHeight="1">
      <c r="A2" s="28" t="s">
        <v>63</v>
      </c>
      <c r="B2" s="29" t="s">
        <v>64</v>
      </c>
      <c r="C2" s="29" t="s">
        <v>65</v>
      </c>
      <c r="D2" s="28"/>
      <c r="E2" s="30"/>
      <c r="F2" s="30"/>
      <c r="G2" s="30"/>
      <c r="H2" s="30"/>
      <c r="I2" s="30"/>
    </row>
    <row r="3" spans="1:9" s="3" customFormat="1" ht="18.95" customHeight="1">
      <c r="A3" s="370" t="s">
        <v>66</v>
      </c>
      <c r="B3" s="371"/>
      <c r="C3" s="371"/>
      <c r="D3" s="31"/>
      <c r="E3" s="30"/>
      <c r="F3" s="30"/>
      <c r="G3" s="30"/>
      <c r="H3" s="30"/>
      <c r="I3" s="30"/>
    </row>
    <row r="4" spans="1:9" ht="12.95">
      <c r="A4" s="32" t="s">
        <v>67</v>
      </c>
      <c r="B4" s="32" t="s">
        <v>68</v>
      </c>
      <c r="C4" s="125"/>
      <c r="D4" s="33"/>
    </row>
    <row r="5" spans="1:9" ht="12.95">
      <c r="A5" s="32" t="s">
        <v>67</v>
      </c>
      <c r="B5" s="32" t="s">
        <v>69</v>
      </c>
      <c r="C5" s="47"/>
      <c r="D5" s="33"/>
    </row>
    <row r="6" spans="1:9" ht="12.95">
      <c r="A6" s="32" t="s">
        <v>67</v>
      </c>
      <c r="B6" s="32" t="s">
        <v>70</v>
      </c>
      <c r="C6" s="125"/>
      <c r="D6" s="33"/>
    </row>
    <row r="7" spans="1:9" ht="12.95">
      <c r="A7" s="32" t="s">
        <v>67</v>
      </c>
      <c r="B7" s="32" t="s">
        <v>71</v>
      </c>
      <c r="C7" s="47"/>
      <c r="D7" s="33"/>
    </row>
    <row r="8" spans="1:9" ht="12.95">
      <c r="A8" s="129" t="s">
        <v>67</v>
      </c>
      <c r="B8" s="129" t="s">
        <v>72</v>
      </c>
      <c r="C8" s="130"/>
      <c r="D8" s="75"/>
      <c r="E8"/>
      <c r="F8"/>
      <c r="G8"/>
      <c r="H8"/>
      <c r="I8"/>
    </row>
    <row r="9" spans="1:9" ht="12.95">
      <c r="A9" s="129" t="s">
        <v>67</v>
      </c>
      <c r="B9" s="129" t="s">
        <v>73</v>
      </c>
      <c r="C9" s="130"/>
      <c r="D9" s="75"/>
      <c r="E9"/>
      <c r="F9"/>
      <c r="G9"/>
      <c r="H9"/>
      <c r="I9"/>
    </row>
    <row r="10" spans="1:9" ht="12.95">
      <c r="A10" s="129" t="s">
        <v>67</v>
      </c>
      <c r="B10" s="129" t="s">
        <v>74</v>
      </c>
      <c r="C10" s="130"/>
      <c r="D10" s="75"/>
      <c r="E10"/>
      <c r="F10"/>
      <c r="G10"/>
      <c r="H10"/>
      <c r="I10"/>
    </row>
    <row r="11" spans="1:9" ht="12.95">
      <c r="A11" s="32" t="s">
        <v>67</v>
      </c>
      <c r="B11" s="32" t="s">
        <v>75</v>
      </c>
      <c r="C11" s="34" t="s">
        <v>76</v>
      </c>
      <c r="D11" s="33"/>
    </row>
    <row r="12" spans="1:9" ht="12.95">
      <c r="A12" s="32" t="s">
        <v>67</v>
      </c>
      <c r="B12" s="32" t="s">
        <v>77</v>
      </c>
      <c r="C12" s="35"/>
      <c r="D12" s="33"/>
    </row>
    <row r="13" spans="1:9" ht="12.95">
      <c r="A13" s="32" t="s">
        <v>67</v>
      </c>
      <c r="B13" s="32" t="s">
        <v>78</v>
      </c>
      <c r="C13" s="35"/>
      <c r="D13" s="33"/>
    </row>
    <row r="14" spans="1:9" ht="12.95">
      <c r="A14" s="32" t="s">
        <v>0</v>
      </c>
      <c r="B14" s="32" t="s">
        <v>79</v>
      </c>
      <c r="C14" s="34" t="s">
        <v>80</v>
      </c>
      <c r="D14" s="33" t="str">
        <f>VLOOKUP(C14,Справочник!W3:X9,2,)</f>
        <v>коп.</v>
      </c>
    </row>
    <row r="15" spans="1:9" ht="12.95">
      <c r="A15" s="36" t="s">
        <v>32</v>
      </c>
      <c r="B15" s="37" t="s">
        <v>81</v>
      </c>
      <c r="C15" s="38"/>
      <c r="D15" s="33"/>
    </row>
    <row r="16" spans="1:9" ht="12.95">
      <c r="A16" s="36" t="s">
        <v>32</v>
      </c>
      <c r="B16" s="37" t="s">
        <v>82</v>
      </c>
      <c r="C16" s="38"/>
      <c r="D16" s="33"/>
    </row>
    <row r="17" spans="1:9" s="3" customFormat="1" ht="18.95" customHeight="1">
      <c r="A17" s="370" t="s">
        <v>83</v>
      </c>
      <c r="B17" s="371"/>
      <c r="C17" s="371"/>
      <c r="D17" s="39"/>
      <c r="E17" s="30"/>
      <c r="F17" s="30"/>
      <c r="G17" s="30"/>
      <c r="H17" s="30"/>
      <c r="I17" s="30"/>
    </row>
    <row r="18" spans="1:9" ht="26.1">
      <c r="A18" s="40" t="s">
        <v>84</v>
      </c>
      <c r="B18" s="41" t="s">
        <v>85</v>
      </c>
      <c r="C18" s="42"/>
      <c r="D18" s="33"/>
    </row>
    <row r="19" spans="1:9" ht="12.95">
      <c r="A19" s="32" t="s">
        <v>14</v>
      </c>
      <c r="B19" s="32" t="s">
        <v>15</v>
      </c>
      <c r="C19" s="34" t="s">
        <v>86</v>
      </c>
      <c r="D19" s="33"/>
    </row>
    <row r="20" spans="1:9" ht="26.1">
      <c r="A20" s="43" t="s">
        <v>16</v>
      </c>
      <c r="B20" s="43" t="s">
        <v>87</v>
      </c>
      <c r="C20" s="42"/>
      <c r="D20" s="33"/>
    </row>
    <row r="21" spans="1:9" ht="34.5" customHeight="1">
      <c r="A21" s="43" t="s">
        <v>88</v>
      </c>
      <c r="B21" s="43" t="s">
        <v>89</v>
      </c>
      <c r="C21" s="38"/>
      <c r="D21" s="33"/>
    </row>
    <row r="22" spans="1:9" ht="34.5" customHeight="1">
      <c r="A22" s="43" t="s">
        <v>90</v>
      </c>
      <c r="B22" s="43" t="s">
        <v>89</v>
      </c>
      <c r="C22" s="38"/>
      <c r="D22" s="33"/>
    </row>
    <row r="23" spans="1:9" ht="34.5" customHeight="1">
      <c r="A23" s="43" t="s">
        <v>91</v>
      </c>
      <c r="B23" s="43" t="s">
        <v>89</v>
      </c>
      <c r="C23" s="38"/>
      <c r="D23" s="33"/>
    </row>
    <row r="24" spans="1:9" ht="26.1">
      <c r="A24" s="45" t="s">
        <v>20</v>
      </c>
      <c r="B24" s="45" t="s">
        <v>92</v>
      </c>
      <c r="C24" s="46" t="s">
        <v>76</v>
      </c>
      <c r="D24" s="33"/>
    </row>
    <row r="25" spans="1:9" ht="26.1">
      <c r="A25" s="40" t="s">
        <v>93</v>
      </c>
      <c r="B25" s="40" t="s">
        <v>94</v>
      </c>
      <c r="C25" s="42"/>
      <c r="D25" s="33"/>
    </row>
    <row r="26" spans="1:9" ht="39">
      <c r="A26" s="40" t="s">
        <v>95</v>
      </c>
      <c r="B26" s="123" t="s">
        <v>96</v>
      </c>
      <c r="C26" s="47"/>
      <c r="D26" s="33"/>
    </row>
    <row r="27" spans="1:9" ht="12.95">
      <c r="A27" s="40" t="s">
        <v>97</v>
      </c>
      <c r="B27" s="123" t="s">
        <v>98</v>
      </c>
      <c r="C27" s="47"/>
      <c r="D27" s="33"/>
    </row>
    <row r="28" spans="1:9" ht="26.1">
      <c r="A28" s="40" t="s">
        <v>99</v>
      </c>
      <c r="B28" s="123" t="s">
        <v>100</v>
      </c>
      <c r="C28" s="47"/>
      <c r="D28" s="33"/>
    </row>
    <row r="29" spans="1:9" ht="30.6" customHeight="1">
      <c r="A29" s="48" t="s">
        <v>101</v>
      </c>
      <c r="B29" s="45" t="s">
        <v>102</v>
      </c>
      <c r="C29" s="49" t="s">
        <v>103</v>
      </c>
      <c r="D29" s="33"/>
    </row>
    <row r="30" spans="1:9" ht="51" customHeight="1">
      <c r="A30" s="40" t="s">
        <v>104</v>
      </c>
      <c r="B30" s="123" t="s">
        <v>105</v>
      </c>
      <c r="C30" s="170"/>
      <c r="D30" s="33"/>
    </row>
    <row r="31" spans="1:9" s="3" customFormat="1" ht="12.95">
      <c r="A31" s="370" t="s">
        <v>106</v>
      </c>
      <c r="B31" s="371"/>
      <c r="C31" s="371"/>
      <c r="D31" s="39"/>
      <c r="E31" s="30"/>
      <c r="F31" s="30"/>
      <c r="G31" s="30"/>
      <c r="H31" s="30"/>
      <c r="I31" s="30"/>
    </row>
    <row r="32" spans="1:9" ht="12.95">
      <c r="A32" s="50" t="s">
        <v>24</v>
      </c>
      <c r="B32" s="45" t="s">
        <v>107</v>
      </c>
      <c r="C32" s="51" t="s">
        <v>108</v>
      </c>
      <c r="D32" s="33"/>
    </row>
    <row r="33" spans="1:9" s="19" customFormat="1" ht="12.95">
      <c r="A33" s="52" t="s">
        <v>109</v>
      </c>
      <c r="B33" s="52" t="s">
        <v>110</v>
      </c>
      <c r="C33" s="53" t="s">
        <v>76</v>
      </c>
      <c r="D33" s="54"/>
      <c r="E33" s="55"/>
      <c r="F33" s="55"/>
      <c r="G33" s="55"/>
      <c r="H33" s="55"/>
      <c r="I33" s="55"/>
    </row>
    <row r="34" spans="1:9" ht="165.2" customHeight="1">
      <c r="A34" s="45" t="s">
        <v>25</v>
      </c>
      <c r="B34" s="56" t="s">
        <v>111</v>
      </c>
      <c r="C34" s="51" t="str">
        <f ca="1">IF(C33="(Выпадающий список)","Выберите порядок оплаты",IF((C33="Предоплата")*(ISBLANK(C35)),"Укажите количество дней предоплаты",IF((C33="Постоплата")*(ISBLANK(C36)),"Укажите количество дней постоплаты",IF((OR(C33="Частичнаяпредоплата",C33="Частичнаяпредоплата_с_БГ",C33="Предоплата_c_БГ")*(ISBLANK(C35))+OR(C33="Частичнаяпредоплата",C33="Предоплата_c_БГ",C33="Частичнаяпредоплата")*(ISBLANK(C36))),"Укажите количество дней частичной предоплаты/постоплаты",INDIRECT(C33)))))</f>
        <v>Выберите порядок оплаты</v>
      </c>
      <c r="D34" s="33"/>
    </row>
    <row r="35" spans="1:9" ht="26.1">
      <c r="A35" s="40" t="s">
        <v>112</v>
      </c>
      <c r="B35" s="40" t="s">
        <v>113</v>
      </c>
      <c r="C35" s="57"/>
      <c r="D35" s="33"/>
    </row>
    <row r="36" spans="1:9" ht="26.1">
      <c r="A36" s="40" t="s">
        <v>114</v>
      </c>
      <c r="B36" s="40" t="s">
        <v>115</v>
      </c>
      <c r="C36" s="57"/>
      <c r="D36" s="33"/>
    </row>
    <row r="37" spans="1:9" ht="12.95">
      <c r="A37" s="40" t="s">
        <v>116</v>
      </c>
      <c r="B37" s="40" t="s">
        <v>117</v>
      </c>
      <c r="C37" s="58"/>
      <c r="D37" s="33"/>
    </row>
    <row r="38" spans="1:9" ht="12.95">
      <c r="A38" s="40" t="s">
        <v>118</v>
      </c>
      <c r="B38" s="40" t="s">
        <v>119</v>
      </c>
      <c r="C38" s="72">
        <f>100%-C37</f>
        <v>1</v>
      </c>
      <c r="D38" s="33"/>
    </row>
    <row r="39" spans="1:9" ht="77.099999999999994" customHeight="1">
      <c r="A39" s="370" t="s">
        <v>120</v>
      </c>
      <c r="B39" s="371"/>
      <c r="C39" s="371"/>
      <c r="D39" s="33"/>
    </row>
    <row r="40" spans="1:9" s="19" customFormat="1" ht="12.95" outlineLevel="1">
      <c r="A40" s="52" t="s">
        <v>121</v>
      </c>
      <c r="B40" s="52" t="s">
        <v>122</v>
      </c>
      <c r="C40" s="53" t="s">
        <v>76</v>
      </c>
      <c r="D40" s="54"/>
      <c r="E40" s="55"/>
      <c r="F40" s="55"/>
      <c r="G40" s="55"/>
      <c r="H40" s="55"/>
      <c r="I40" s="55"/>
    </row>
    <row r="41" spans="1:9" ht="116.85" customHeight="1" outlineLevel="1">
      <c r="A41" s="45" t="s">
        <v>123</v>
      </c>
      <c r="B41" s="56" t="s">
        <v>124</v>
      </c>
      <c r="C41" s="51"/>
      <c r="D41" s="33"/>
    </row>
    <row r="42" spans="1:9" ht="26.1" outlineLevel="1">
      <c r="A42" s="40" t="s">
        <v>125</v>
      </c>
      <c r="B42" s="40" t="s">
        <v>113</v>
      </c>
      <c r="C42" s="57"/>
      <c r="D42" s="33"/>
    </row>
    <row r="43" spans="1:9" ht="26.1" outlineLevel="1">
      <c r="A43" s="40" t="s">
        <v>126</v>
      </c>
      <c r="B43" s="40" t="s">
        <v>115</v>
      </c>
      <c r="C43" s="57"/>
      <c r="D43" s="33"/>
    </row>
    <row r="44" spans="1:9" ht="12.95" outlineLevel="1">
      <c r="A44" s="40" t="s">
        <v>127</v>
      </c>
      <c r="B44" s="40" t="s">
        <v>128</v>
      </c>
      <c r="C44" s="59"/>
      <c r="D44" s="33"/>
    </row>
    <row r="45" spans="1:9" ht="26.1" outlineLevel="1">
      <c r="A45" s="40" t="s">
        <v>129</v>
      </c>
      <c r="B45" s="40" t="s">
        <v>130</v>
      </c>
      <c r="C45" s="59"/>
      <c r="D45" s="33"/>
    </row>
    <row r="46" spans="1:9" ht="12.95" outlineLevel="1">
      <c r="A46" s="40" t="s">
        <v>131</v>
      </c>
      <c r="B46" s="40" t="s">
        <v>117</v>
      </c>
      <c r="C46" s="58"/>
      <c r="D46" s="33"/>
    </row>
    <row r="47" spans="1:9" ht="12.95" outlineLevel="1">
      <c r="A47" s="40" t="s">
        <v>132</v>
      </c>
      <c r="B47" s="40" t="s">
        <v>119</v>
      </c>
      <c r="C47" s="72">
        <f>100%-C46</f>
        <v>1</v>
      </c>
      <c r="D47" s="33"/>
    </row>
    <row r="48" spans="1:9" s="3" customFormat="1" ht="18.95" customHeight="1">
      <c r="A48" s="370" t="s">
        <v>133</v>
      </c>
      <c r="B48" s="371"/>
      <c r="C48" s="371"/>
      <c r="D48" s="39"/>
      <c r="E48" s="30"/>
      <c r="F48" s="30"/>
      <c r="G48" s="30"/>
      <c r="H48" s="30"/>
      <c r="I48" s="30"/>
    </row>
    <row r="49" spans="1:9" ht="100.5" customHeight="1">
      <c r="A49" s="45" t="s">
        <v>26</v>
      </c>
      <c r="B49" s="45" t="s">
        <v>134</v>
      </c>
      <c r="C49" s="42"/>
      <c r="D49" s="33"/>
    </row>
    <row r="50" spans="1:9" s="3" customFormat="1" ht="18.95" customHeight="1">
      <c r="A50" s="370" t="s">
        <v>135</v>
      </c>
      <c r="B50" s="371"/>
      <c r="C50" s="371"/>
      <c r="D50" s="39"/>
      <c r="E50" s="30"/>
      <c r="F50" s="30"/>
      <c r="G50" s="30"/>
      <c r="H50" s="30"/>
      <c r="I50" s="30"/>
    </row>
    <row r="51" spans="1:9" ht="39">
      <c r="A51" s="60" t="s">
        <v>136</v>
      </c>
      <c r="B51" s="40" t="s">
        <v>137</v>
      </c>
      <c r="C51" s="170" t="s">
        <v>138</v>
      </c>
      <c r="D51" s="33"/>
    </row>
    <row r="52" spans="1:9" ht="26.1">
      <c r="A52" s="60" t="s">
        <v>139</v>
      </c>
      <c r="B52" s="40" t="s">
        <v>140</v>
      </c>
      <c r="C52" s="46" t="s">
        <v>76</v>
      </c>
      <c r="D52" s="33"/>
    </row>
    <row r="53" spans="1:9" ht="46.5" customHeight="1">
      <c r="A53" s="61" t="s">
        <v>28</v>
      </c>
      <c r="B53" s="45" t="s">
        <v>135</v>
      </c>
      <c r="C53" s="64" t="str">
        <f>CONCATENATE("Срок годности поставляемого по настоящему Дополнительному соглашению Товара указывается в ",C51," и должен составлять не менее ",C52," с даты поставки Товара.")</f>
        <v>Срок годности поставляемого по настоящему Дополнительному соглашению Товара указывается в сертификате качества и должен составлять не менее (Выпадающий список) с даты поставки Товара.</v>
      </c>
      <c r="D53" s="33"/>
    </row>
    <row r="54" spans="1:9" s="3" customFormat="1" ht="18.95" customHeight="1">
      <c r="A54" s="370" t="s">
        <v>141</v>
      </c>
      <c r="B54" s="371"/>
      <c r="C54" s="371"/>
      <c r="D54" s="39"/>
      <c r="E54" s="30"/>
      <c r="F54" s="30"/>
      <c r="G54" s="30"/>
      <c r="H54" s="30"/>
      <c r="I54" s="30"/>
    </row>
    <row r="55" spans="1:9" ht="39">
      <c r="A55" s="61" t="s">
        <v>142</v>
      </c>
      <c r="B55" s="45" t="s">
        <v>143</v>
      </c>
      <c r="C55" s="137" t="s">
        <v>144</v>
      </c>
      <c r="D55" s="33"/>
    </row>
    <row r="56" spans="1:9" ht="26.1">
      <c r="A56" s="61" t="s">
        <v>145</v>
      </c>
      <c r="B56" s="45" t="s">
        <v>146</v>
      </c>
      <c r="C56" s="312">
        <v>0.1</v>
      </c>
      <c r="D56" s="33"/>
    </row>
    <row r="57" spans="1:9" ht="26.1">
      <c r="A57" s="61" t="s">
        <v>147</v>
      </c>
      <c r="B57" s="45" t="s">
        <v>148</v>
      </c>
      <c r="C57" s="312">
        <v>0.2</v>
      </c>
      <c r="D57" s="62"/>
    </row>
    <row r="58" spans="1:9" s="3" customFormat="1" ht="70.5" customHeight="1">
      <c r="A58" s="370" t="s">
        <v>149</v>
      </c>
      <c r="B58" s="371" t="s">
        <v>150</v>
      </c>
      <c r="C58" s="372"/>
      <c r="D58" s="63" t="s">
        <v>151</v>
      </c>
      <c r="E58" s="30"/>
      <c r="F58" s="30"/>
      <c r="G58" s="30"/>
      <c r="H58" s="30"/>
      <c r="I58" s="30"/>
    </row>
    <row r="59" spans="1:9" ht="21.75" customHeight="1">
      <c r="A59" s="126" t="s">
        <v>152</v>
      </c>
      <c r="B59" s="44" t="s">
        <v>153</v>
      </c>
      <c r="C59" s="124"/>
      <c r="D59" s="65" t="s">
        <v>154</v>
      </c>
    </row>
    <row r="60" spans="1:9" ht="45" customHeight="1">
      <c r="A60" s="126" t="s">
        <v>155</v>
      </c>
      <c r="B60" s="44" t="s">
        <v>156</v>
      </c>
      <c r="C60" s="124"/>
      <c r="D60" s="65" t="s">
        <v>154</v>
      </c>
    </row>
    <row r="61" spans="1:9" ht="23.1" customHeight="1">
      <c r="A61" s="310" t="s">
        <v>157</v>
      </c>
      <c r="B61" s="45" t="s">
        <v>158</v>
      </c>
      <c r="C61" s="42"/>
      <c r="D61" s="174" t="s">
        <v>154</v>
      </c>
    </row>
    <row r="62" spans="1:9" ht="12.95">
      <c r="A62" s="310"/>
      <c r="B62" s="171" t="s">
        <v>159</v>
      </c>
      <c r="C62" s="42"/>
      <c r="D62" s="174" t="s">
        <v>154</v>
      </c>
    </row>
    <row r="63" spans="1:9" ht="26.1">
      <c r="A63" s="310" t="s">
        <v>160</v>
      </c>
      <c r="B63" s="40" t="s">
        <v>161</v>
      </c>
      <c r="C63" s="57" t="s">
        <v>162</v>
      </c>
      <c r="D63" s="33"/>
    </row>
    <row r="64" spans="1:9" ht="26.1">
      <c r="A64" s="310" t="s">
        <v>163</v>
      </c>
      <c r="B64" s="40" t="s">
        <v>164</v>
      </c>
      <c r="C64" s="57" t="s">
        <v>165</v>
      </c>
      <c r="D64" s="33"/>
    </row>
    <row r="65" spans="1:14" ht="26.1">
      <c r="A65" s="310" t="s">
        <v>166</v>
      </c>
      <c r="B65" s="40" t="s">
        <v>167</v>
      </c>
      <c r="C65" s="57" t="s">
        <v>168</v>
      </c>
      <c r="D65" s="33"/>
    </row>
    <row r="66" spans="1:14" ht="26.1">
      <c r="A66" s="310" t="s">
        <v>169</v>
      </c>
      <c r="B66" s="40" t="s">
        <v>170</v>
      </c>
      <c r="C66" s="57"/>
      <c r="D66" s="33"/>
    </row>
    <row r="67" spans="1:14" ht="26.1">
      <c r="A67" s="310" t="s">
        <v>171</v>
      </c>
      <c r="B67" s="40" t="s">
        <v>172</v>
      </c>
      <c r="C67" s="57"/>
      <c r="D67" s="33"/>
    </row>
    <row r="68" spans="1:14" ht="12.95">
      <c r="A68" s="310"/>
      <c r="B68" s="171" t="s">
        <v>173</v>
      </c>
      <c r="C68" s="57"/>
      <c r="D68" s="174" t="s">
        <v>154</v>
      </c>
    </row>
    <row r="69" spans="1:14" ht="26.1">
      <c r="A69" s="310" t="s">
        <v>174</v>
      </c>
      <c r="B69" s="40" t="s">
        <v>161</v>
      </c>
      <c r="C69" s="57" t="s">
        <v>175</v>
      </c>
      <c r="D69" s="33"/>
    </row>
    <row r="70" spans="1:14" ht="26.1">
      <c r="A70" s="310" t="s">
        <v>176</v>
      </c>
      <c r="B70" s="40" t="s">
        <v>164</v>
      </c>
      <c r="C70" s="57"/>
      <c r="D70" s="33"/>
    </row>
    <row r="71" spans="1:14" ht="26.1">
      <c r="A71" s="310" t="s">
        <v>177</v>
      </c>
      <c r="B71" s="40" t="s">
        <v>167</v>
      </c>
      <c r="C71" s="57"/>
      <c r="D71" s="33"/>
    </row>
    <row r="72" spans="1:14" ht="26.1">
      <c r="A72" s="310" t="s">
        <v>178</v>
      </c>
      <c r="B72" s="40" t="s">
        <v>170</v>
      </c>
      <c r="C72" s="57"/>
      <c r="D72" s="33"/>
    </row>
    <row r="73" spans="1:14" ht="26.1">
      <c r="A73" s="310" t="s">
        <v>179</v>
      </c>
      <c r="B73" s="40" t="s">
        <v>172</v>
      </c>
      <c r="C73" s="57"/>
      <c r="D73" s="33"/>
    </row>
    <row r="74" spans="1:14" ht="12.95">
      <c r="A74" s="126" t="s">
        <v>180</v>
      </c>
      <c r="B74" s="44" t="s">
        <v>181</v>
      </c>
      <c r="C74" s="57"/>
      <c r="D74" s="174" t="s">
        <v>154</v>
      </c>
    </row>
    <row r="75" spans="1:14" ht="32.25" customHeight="1">
      <c r="A75" s="126" t="s">
        <v>180</v>
      </c>
      <c r="B75" s="44" t="s">
        <v>182</v>
      </c>
      <c r="C75" s="64" t="s">
        <v>183</v>
      </c>
      <c r="D75" s="65" t="s">
        <v>154</v>
      </c>
      <c r="E75" s="21"/>
      <c r="F75" s="21"/>
      <c r="G75" s="21"/>
      <c r="H75" s="21"/>
      <c r="I75" s="21"/>
      <c r="J75" s="21"/>
      <c r="K75" s="21"/>
      <c r="L75" s="21"/>
      <c r="M75" s="21"/>
      <c r="N75" s="21"/>
    </row>
    <row r="76" spans="1:14" ht="17.45">
      <c r="A76" s="127" t="s">
        <v>184</v>
      </c>
      <c r="B76" s="172" t="s">
        <v>185</v>
      </c>
      <c r="C76" s="73" t="str">
        <f>CONCATENATE("- ",B76,".")</f>
        <v>- Заказ принят.</v>
      </c>
      <c r="D76" s="65" t="s">
        <v>154</v>
      </c>
      <c r="E76" s="21"/>
      <c r="F76" s="21"/>
      <c r="G76" s="21"/>
      <c r="H76" s="21"/>
      <c r="I76" s="21"/>
      <c r="J76" s="21"/>
      <c r="K76" s="21"/>
      <c r="L76" s="21"/>
      <c r="M76" s="21"/>
      <c r="N76" s="21"/>
    </row>
    <row r="77" spans="1:14" ht="17.45">
      <c r="A77" s="127" t="s">
        <v>186</v>
      </c>
      <c r="B77" s="172" t="s">
        <v>187</v>
      </c>
      <c r="C77" s="73" t="str">
        <f t="shared" ref="C77:C85" si="0">CONCATENATE("- ",B77,".")</f>
        <v>- Сырье куплено.</v>
      </c>
      <c r="D77" s="65" t="s">
        <v>154</v>
      </c>
      <c r="E77" s="21"/>
      <c r="F77" s="21"/>
      <c r="G77" s="21"/>
      <c r="H77" s="21"/>
      <c r="I77" s="21"/>
      <c r="J77" s="21"/>
      <c r="K77" s="21"/>
      <c r="L77" s="21"/>
      <c r="M77" s="21"/>
      <c r="N77" s="21"/>
    </row>
    <row r="78" spans="1:14" ht="17.45">
      <c r="A78" s="127" t="s">
        <v>188</v>
      </c>
      <c r="B78" s="172" t="s">
        <v>189</v>
      </c>
      <c r="C78" s="73" t="str">
        <f t="shared" si="0"/>
        <v>- Заказ произведен/готов к отгрузке.</v>
      </c>
      <c r="D78" s="65" t="s">
        <v>154</v>
      </c>
      <c r="E78" s="21"/>
      <c r="F78" s="21"/>
      <c r="G78" s="21"/>
      <c r="H78" s="21"/>
      <c r="I78" s="21"/>
      <c r="J78" s="21"/>
      <c r="K78" s="21"/>
      <c r="L78" s="21"/>
      <c r="M78" s="21"/>
      <c r="N78" s="21"/>
    </row>
    <row r="79" spans="1:14" ht="17.45">
      <c r="A79" s="127" t="s">
        <v>190</v>
      </c>
      <c r="B79" s="172" t="s">
        <v>191</v>
      </c>
      <c r="C79" s="73" t="str">
        <f t="shared" si="0"/>
        <v>- Отгружено.</v>
      </c>
      <c r="D79" s="65" t="s">
        <v>154</v>
      </c>
      <c r="E79" s="21"/>
      <c r="F79" s="21"/>
      <c r="G79" s="21"/>
      <c r="H79" s="21"/>
      <c r="I79" s="21"/>
      <c r="J79" s="21"/>
      <c r="K79" s="21"/>
      <c r="L79" s="21"/>
      <c r="M79" s="21"/>
      <c r="N79" s="21"/>
    </row>
    <row r="80" spans="1:14" ht="17.45">
      <c r="A80" s="127" t="s">
        <v>192</v>
      </c>
      <c r="B80" s="172" t="s">
        <v>193</v>
      </c>
      <c r="C80" s="73" t="str">
        <f t="shared" si="0"/>
        <v>- Погружено на судно.</v>
      </c>
      <c r="D80" s="65" t="s">
        <v>154</v>
      </c>
      <c r="E80" s="21"/>
      <c r="F80" s="21"/>
      <c r="G80" s="21"/>
      <c r="H80" s="21"/>
      <c r="I80" s="21"/>
      <c r="J80" s="21"/>
      <c r="K80" s="21"/>
      <c r="L80" s="21"/>
      <c r="M80" s="21"/>
      <c r="N80" s="21"/>
    </row>
    <row r="81" spans="1:14" ht="17.45">
      <c r="A81" s="127" t="s">
        <v>194</v>
      </c>
      <c r="B81" s="172" t="s">
        <v>195</v>
      </c>
      <c r="C81" s="73" t="str">
        <f t="shared" si="0"/>
        <v>- Погружен на авто.</v>
      </c>
      <c r="D81" s="65" t="s">
        <v>154</v>
      </c>
      <c r="E81" s="21"/>
      <c r="F81" s="21"/>
      <c r="G81" s="21"/>
      <c r="H81" s="21"/>
      <c r="I81" s="21"/>
      <c r="J81" s="21"/>
      <c r="K81" s="21"/>
      <c r="L81" s="21"/>
      <c r="M81" s="21"/>
      <c r="N81" s="21"/>
    </row>
    <row r="82" spans="1:14" ht="17.45">
      <c r="A82" s="127" t="s">
        <v>196</v>
      </c>
      <c r="B82" s="172" t="s">
        <v>197</v>
      </c>
      <c r="C82" s="73" t="str">
        <f t="shared" si="0"/>
        <v>- Прибыл на таможню.</v>
      </c>
      <c r="D82" s="65" t="s">
        <v>154</v>
      </c>
      <c r="E82" s="21"/>
      <c r="F82" s="21"/>
      <c r="G82" s="21"/>
      <c r="H82" s="21"/>
      <c r="I82" s="21"/>
      <c r="J82" s="21"/>
      <c r="K82" s="21"/>
      <c r="L82" s="21"/>
      <c r="M82" s="21"/>
      <c r="N82" s="21"/>
    </row>
    <row r="83" spans="1:14" ht="17.45">
      <c r="A83" s="127" t="s">
        <v>198</v>
      </c>
      <c r="B83" s="172" t="s">
        <v>199</v>
      </c>
      <c r="C83" s="73" t="str">
        <f t="shared" si="0"/>
        <v>- Растаможен.</v>
      </c>
      <c r="D83" s="65" t="s">
        <v>154</v>
      </c>
      <c r="E83" s="21"/>
      <c r="F83" s="21"/>
      <c r="G83" s="21"/>
      <c r="H83" s="21"/>
      <c r="I83" s="21"/>
      <c r="J83" s="21"/>
      <c r="K83" s="21"/>
      <c r="L83" s="21"/>
      <c r="M83" s="21"/>
      <c r="N83" s="21"/>
    </row>
    <row r="84" spans="1:14" ht="17.45">
      <c r="A84" s="127" t="s">
        <v>200</v>
      </c>
      <c r="B84" s="172" t="s">
        <v>201</v>
      </c>
      <c r="C84" s="73" t="str">
        <f t="shared" si="0"/>
        <v>- Погружен на поезд/авто.</v>
      </c>
      <c r="D84" s="65" t="s">
        <v>154</v>
      </c>
      <c r="E84" s="21"/>
      <c r="F84" s="21"/>
      <c r="G84" s="21"/>
      <c r="H84" s="21"/>
      <c r="I84" s="21"/>
      <c r="J84" s="21"/>
      <c r="K84" s="21"/>
      <c r="L84" s="21"/>
      <c r="M84" s="21"/>
      <c r="N84" s="21"/>
    </row>
    <row r="85" spans="1:14" ht="17.45">
      <c r="A85" s="127" t="s">
        <v>202</v>
      </c>
      <c r="B85" s="172" t="s">
        <v>203</v>
      </c>
      <c r="C85" s="73" t="str">
        <f t="shared" si="0"/>
        <v>- Доставлен.</v>
      </c>
      <c r="D85" s="65" t="s">
        <v>154</v>
      </c>
      <c r="E85" s="21"/>
      <c r="F85" s="21"/>
      <c r="G85" s="21"/>
      <c r="H85" s="21"/>
      <c r="I85" s="21"/>
      <c r="J85" s="21"/>
      <c r="K85" s="21"/>
      <c r="L85" s="21"/>
      <c r="M85" s="21"/>
      <c r="N85" s="21"/>
    </row>
    <row r="86" spans="1:14" ht="62.85" customHeight="1">
      <c r="A86" s="126" t="s">
        <v>204</v>
      </c>
      <c r="B86" s="44" t="s">
        <v>205</v>
      </c>
      <c r="C86" s="64" t="str">
        <f>CONCATENATE("При исполнении настоящего дополнительного соглашения допускается отклонение от согласованного Сторонами количества Товара (толеранс) в пределах +/-",TEXT($C$87,"0%"), " по отдельным позициям."," 
При наличии расхождений по количеству Товара в пределах толеранса Сторонами производится доплата или возврат денежных средств не позднее 30 (тридцати) дней с даты поставки Товара.")</f>
        <v>При исполнении настоящего дополнительного соглашения допускается отклонение от согласованного Сторонами количества Товара (толеранс) в пределах +/-0% по отдельным позициям. 
При наличии расхождений по количеству Товара в пределах толеранса Сторонами производится доплата или возврат денежных средств не позднее 30 (тридцати) дней с даты поставки Товара.</v>
      </c>
      <c r="D86" s="65" t="s">
        <v>154</v>
      </c>
    </row>
    <row r="87" spans="1:14" ht="17.45">
      <c r="A87" s="66" t="s">
        <v>206</v>
      </c>
      <c r="B87" s="67" t="s">
        <v>207</v>
      </c>
      <c r="C87" s="68"/>
      <c r="D87" s="128"/>
      <c r="E87" s="21"/>
      <c r="F87" s="21"/>
      <c r="G87" s="21"/>
      <c r="H87" s="21"/>
      <c r="I87" s="21"/>
      <c r="J87" s="21"/>
      <c r="K87" s="21"/>
      <c r="L87" s="21"/>
      <c r="M87" s="21"/>
      <c r="N87" s="21"/>
    </row>
    <row r="88" spans="1:14" ht="129.75" customHeight="1">
      <c r="A88" s="126" t="s">
        <v>208</v>
      </c>
      <c r="B88" s="44" t="s">
        <v>209</v>
      </c>
      <c r="C88" s="64" t="str">
        <f>CONCATENATE("В соответствии со ст. 429.3 ГК РФ Покупатель вправе в срок до ",TEXT(DAY(C89),"00")&amp;" "&amp;VLOOKUP(MONTH(C89),Справочник!$D$2:$E$13,2,0)&amp;" "&amp;YEAR(C89)&amp;" года"," потребовать от Поставщика поставить дополнительный объем Товара, указанного в п. 1 настоящего дополнительного соглашения, в пределах ",TEXT($C$90,"0%"), " от количества, согласованного в настоящем дополнительном соглашении по каждой позиции.",
" Требование Покупателя о поставке дополнительного объема Товара будет считаться заявленным в пределах указанного в настоящем пункте срока,", "если требование о поставке Товара будет отправлено Покупателем в адрес Поставщика до истечения предусмотренного настоящим пунктом срока.",
" Настоящим стороны пришли к соглашению, что стоимость права требования Покупателя, предусмотренного настоящим пунктом, включена в стоимость Товара, указанную в настоящем дополнительном соглашении.",
" В случае предъявления Покупателем требования, предусмотренного настоящим пунктом, Поставщик обязан в течение ",C91,
" календарных дней с даты направления Покупателем этого требования поставить Покупателю указанное в требовании Покупателя количество Товара по цене,",
" не выше согласованной в п. 1 настоящего дополнительного соглашения цены и на условиях, предусмотренных Договором, а также настоящим дополнительным соглашением.")</f>
        <v>В соответствии со ст. 429.3 ГК РФ Покупатель вправе в срок до 00 января 1900 года потребовать от Поставщика поставить дополнительный объем Товара, указанного в п. 1 настоящего дополнительного соглашения, в пределах 0% от количества, согласованного в настоящем дополнительном соглашении по каждой позиции. Требование Покупателя о поставке дополнительного объема Товара будет считаться заявленным в пределах указанного в настоящем пункте срока,если требование о поставке Товара будет отправлено Покупателем в адрес Поставщика до истечения предусмотренного настоящим пунктом срока. Настоящим стороны пришли к соглашению, что стоимость права требования Покупателя, предусмотренного настоящим пунктом, включена в стоимость Товара, указанную в настоящем дополнительном соглашении. В случае предъявления Покупателем требования, предусмотренного настоящим пунктом, Поставщик обязан в течение  календарных дней с даты направления Покупателем этого требования поставить Покупателю указанное в требовании Покупателя количество Товара по цене, не выше согласованной в п. 1 настоящего дополнительного соглашения цены и на условиях, предусмотренных Договором, а также настоящим дополнительным соглашением.</v>
      </c>
      <c r="D88" s="31" t="s">
        <v>154</v>
      </c>
      <c r="E88" s="21"/>
    </row>
    <row r="89" spans="1:14" ht="17.45">
      <c r="A89" s="127" t="s">
        <v>210</v>
      </c>
      <c r="B89" s="67" t="s">
        <v>211</v>
      </c>
      <c r="C89" s="47"/>
      <c r="D89" s="31"/>
      <c r="E89" s="21"/>
    </row>
    <row r="90" spans="1:14" ht="26.1">
      <c r="A90" s="127" t="s">
        <v>212</v>
      </c>
      <c r="B90" s="67" t="s">
        <v>213</v>
      </c>
      <c r="C90" s="173"/>
      <c r="D90" s="39"/>
      <c r="E90" s="21"/>
    </row>
    <row r="91" spans="1:14" ht="24" customHeight="1">
      <c r="A91" s="127" t="s">
        <v>214</v>
      </c>
      <c r="B91" s="67" t="s">
        <v>215</v>
      </c>
      <c r="C91" s="42"/>
      <c r="D91" s="71"/>
      <c r="E91" s="21"/>
    </row>
    <row r="92" spans="1:14" ht="33.75" hidden="1" customHeight="1">
      <c r="A92" s="126"/>
      <c r="B92" s="44"/>
      <c r="C92" s="73"/>
      <c r="D92" s="71"/>
      <c r="E92" s="21"/>
    </row>
    <row r="93" spans="1:14" ht="24.95">
      <c r="A93" s="126" t="s">
        <v>216</v>
      </c>
      <c r="B93" s="122" t="s">
        <v>217</v>
      </c>
      <c r="C93" s="144" t="s">
        <v>218</v>
      </c>
      <c r="D93" s="65" t="s">
        <v>154</v>
      </c>
      <c r="E93" s="21"/>
    </row>
    <row r="94" spans="1:14" s="3" customFormat="1" ht="18.95" customHeight="1">
      <c r="A94" s="369" t="s">
        <v>219</v>
      </c>
      <c r="B94" s="373"/>
      <c r="C94" s="373"/>
      <c r="D94" s="133"/>
      <c r="E94" s="21"/>
    </row>
    <row r="95" spans="1:14" ht="17.850000000000001" customHeight="1">
      <c r="A95" s="134" t="s">
        <v>220</v>
      </c>
      <c r="B95" s="135" t="s">
        <v>221</v>
      </c>
      <c r="C95" s="137" t="s">
        <v>222</v>
      </c>
      <c r="D95" s="76"/>
      <c r="E95" s="21"/>
      <c r="F95"/>
      <c r="G95"/>
      <c r="H95"/>
      <c r="I95"/>
    </row>
    <row r="96" spans="1:14" ht="82.5" customHeight="1">
      <c r="A96" s="134" t="s">
        <v>220</v>
      </c>
      <c r="B96" s="135" t="s">
        <v>223</v>
      </c>
      <c r="C96" s="136" t="s">
        <v>224</v>
      </c>
      <c r="D96" s="76"/>
      <c r="E96" s="21"/>
      <c r="F96"/>
      <c r="G96"/>
      <c r="H96"/>
      <c r="I96"/>
    </row>
    <row r="97" spans="1:9" s="3" customFormat="1" ht="18.95" hidden="1" customHeight="1">
      <c r="A97" s="296"/>
      <c r="B97" s="296"/>
      <c r="C97" s="296"/>
      <c r="D97" s="294"/>
      <c r="E97" s="30"/>
      <c r="F97" s="30"/>
      <c r="G97" s="30"/>
      <c r="H97" s="30"/>
      <c r="I97" s="30"/>
    </row>
    <row r="98" spans="1:9" ht="12.95" hidden="1">
      <c r="A98" s="284"/>
      <c r="B98" s="285"/>
      <c r="C98" s="286"/>
      <c r="D98" s="295"/>
      <c r="E98"/>
      <c r="F98"/>
      <c r="G98"/>
      <c r="H98"/>
      <c r="I98"/>
    </row>
    <row r="99" spans="1:9" ht="20.25" hidden="1" customHeight="1">
      <c r="A99" s="297"/>
      <c r="B99" s="298"/>
      <c r="C99" s="299"/>
      <c r="D99" s="295"/>
      <c r="E99"/>
      <c r="F99"/>
      <c r="G99"/>
      <c r="H99"/>
      <c r="I99"/>
    </row>
    <row r="100" spans="1:9" s="3" customFormat="1" ht="18.95" customHeight="1">
      <c r="A100" s="370" t="s">
        <v>225</v>
      </c>
      <c r="B100" s="371"/>
      <c r="C100" s="371"/>
      <c r="D100" s="39"/>
      <c r="E100" s="21"/>
      <c r="F100" s="30"/>
      <c r="G100" s="30"/>
      <c r="H100" s="30"/>
      <c r="I100" s="30"/>
    </row>
    <row r="101" spans="1:9" ht="17.45">
      <c r="A101" s="138" t="s">
        <v>226</v>
      </c>
      <c r="B101" s="74" t="s">
        <v>227</v>
      </c>
      <c r="C101" s="77"/>
      <c r="D101" s="75"/>
      <c r="E101" s="21"/>
      <c r="F101"/>
      <c r="G101"/>
      <c r="H101"/>
      <c r="I101"/>
    </row>
    <row r="102" spans="1:9" ht="17.45">
      <c r="A102" s="138" t="s">
        <v>228</v>
      </c>
      <c r="B102" s="74" t="s">
        <v>229</v>
      </c>
      <c r="C102" s="77"/>
      <c r="D102" s="75"/>
      <c r="E102" s="21"/>
      <c r="F102"/>
      <c r="G102"/>
      <c r="H102"/>
      <c r="I102"/>
    </row>
    <row r="103" spans="1:9" ht="17.45">
      <c r="A103" s="138" t="s">
        <v>230</v>
      </c>
      <c r="B103" s="74" t="s">
        <v>231</v>
      </c>
      <c r="C103" s="77"/>
      <c r="D103" s="75"/>
      <c r="E103" s="21"/>
      <c r="F103"/>
      <c r="G103"/>
      <c r="H103"/>
      <c r="I103"/>
    </row>
    <row r="104" spans="1:9" ht="17.45">
      <c r="A104" s="138" t="s">
        <v>232</v>
      </c>
      <c r="B104" s="74" t="s">
        <v>233</v>
      </c>
      <c r="C104" s="77"/>
      <c r="D104" s="75"/>
      <c r="E104" s="21"/>
      <c r="F104"/>
      <c r="G104"/>
      <c r="H104"/>
      <c r="I104"/>
    </row>
    <row r="105" spans="1:9" ht="17.45">
      <c r="A105" s="138" t="s">
        <v>234</v>
      </c>
      <c r="B105" s="74" t="s">
        <v>235</v>
      </c>
      <c r="C105" s="77"/>
      <c r="D105" s="75"/>
      <c r="E105" s="21"/>
      <c r="F105"/>
      <c r="G105"/>
      <c r="H105"/>
      <c r="I105"/>
    </row>
    <row r="106" spans="1:9" ht="17.45">
      <c r="A106" s="138" t="s">
        <v>236</v>
      </c>
      <c r="B106" s="74" t="s">
        <v>237</v>
      </c>
      <c r="C106" s="77"/>
      <c r="D106" s="75"/>
      <c r="E106" s="21"/>
      <c r="F106"/>
      <c r="G106"/>
      <c r="H106"/>
      <c r="I106"/>
    </row>
    <row r="107" spans="1:9" ht="17.45">
      <c r="A107" s="138" t="s">
        <v>238</v>
      </c>
      <c r="B107" s="307" t="s">
        <v>239</v>
      </c>
      <c r="C107" s="77"/>
      <c r="D107" s="75"/>
      <c r="E107" s="21"/>
      <c r="F107"/>
      <c r="G107"/>
      <c r="H107"/>
      <c r="I107"/>
    </row>
    <row r="108" spans="1:9" ht="17.45">
      <c r="A108" s="138" t="s">
        <v>240</v>
      </c>
      <c r="B108" s="69" t="s">
        <v>241</v>
      </c>
      <c r="C108" s="78"/>
      <c r="D108" s="39"/>
      <c r="E108" s="21"/>
    </row>
    <row r="109" spans="1:9" ht="17.45">
      <c r="A109" s="139" t="s">
        <v>242</v>
      </c>
      <c r="B109" s="70" t="s">
        <v>243</v>
      </c>
      <c r="C109" s="143" t="s">
        <v>76</v>
      </c>
      <c r="D109" s="39"/>
      <c r="E109" s="21"/>
    </row>
    <row r="110" spans="1:9" ht="17.45">
      <c r="A110" s="139" t="s">
        <v>244</v>
      </c>
      <c r="B110" s="70" t="s">
        <v>245</v>
      </c>
      <c r="C110" s="124"/>
      <c r="D110" s="39"/>
      <c r="E110" s="21"/>
    </row>
    <row r="111" spans="1:9" ht="17.45">
      <c r="A111" s="139" t="s">
        <v>246</v>
      </c>
      <c r="B111" s="70" t="s">
        <v>247</v>
      </c>
      <c r="C111" s="59"/>
      <c r="D111" s="39"/>
      <c r="E111" s="21"/>
    </row>
    <row r="112" spans="1:9" s="3" customFormat="1" ht="18.95" customHeight="1">
      <c r="A112" s="368" t="s">
        <v>248</v>
      </c>
      <c r="B112" s="368"/>
      <c r="C112" s="369"/>
      <c r="D112" s="76"/>
      <c r="E112" s="21"/>
    </row>
    <row r="113" spans="1:9" ht="17.45">
      <c r="A113" s="138" t="s">
        <v>226</v>
      </c>
      <c r="B113" s="74" t="s">
        <v>227</v>
      </c>
      <c r="C113" s="77"/>
      <c r="D113" s="75"/>
      <c r="E113" s="21"/>
      <c r="F113"/>
      <c r="G113"/>
      <c r="H113"/>
      <c r="I113"/>
    </row>
    <row r="114" spans="1:9" ht="17.45">
      <c r="A114" s="138" t="s">
        <v>228</v>
      </c>
      <c r="B114" s="74" t="s">
        <v>229</v>
      </c>
      <c r="C114" s="77"/>
      <c r="D114" s="75"/>
      <c r="E114" s="21"/>
      <c r="F114"/>
      <c r="G114"/>
      <c r="H114"/>
      <c r="I114"/>
    </row>
    <row r="115" spans="1:9" ht="17.45">
      <c r="A115" s="138" t="s">
        <v>230</v>
      </c>
      <c r="B115" s="74" t="s">
        <v>231</v>
      </c>
      <c r="C115" s="77"/>
      <c r="D115" s="75"/>
      <c r="E115" s="21"/>
      <c r="F115"/>
      <c r="G115"/>
      <c r="H115"/>
      <c r="I115"/>
    </row>
    <row r="116" spans="1:9" ht="17.45">
      <c r="A116" s="138" t="s">
        <v>232</v>
      </c>
      <c r="B116" s="74" t="s">
        <v>233</v>
      </c>
      <c r="C116" s="77"/>
      <c r="D116" s="75"/>
      <c r="E116" s="21"/>
      <c r="F116"/>
      <c r="G116"/>
      <c r="H116"/>
      <c r="I116"/>
    </row>
    <row r="117" spans="1:9" ht="17.45">
      <c r="A117" s="138" t="s">
        <v>234</v>
      </c>
      <c r="B117" s="74" t="s">
        <v>235</v>
      </c>
      <c r="C117" s="77"/>
      <c r="D117" s="75"/>
      <c r="E117" s="21"/>
      <c r="F117"/>
      <c r="G117"/>
      <c r="H117"/>
      <c r="I117"/>
    </row>
    <row r="118" spans="1:9" ht="17.45">
      <c r="A118" s="138" t="s">
        <v>236</v>
      </c>
      <c r="B118" s="74" t="s">
        <v>237</v>
      </c>
      <c r="C118" s="77"/>
      <c r="D118" s="75"/>
      <c r="E118" s="21"/>
      <c r="F118"/>
      <c r="G118"/>
      <c r="H118"/>
      <c r="I118"/>
    </row>
    <row r="119" spans="1:9" ht="17.45">
      <c r="A119" s="138" t="s">
        <v>238</v>
      </c>
      <c r="B119" s="307" t="s">
        <v>239</v>
      </c>
      <c r="C119" s="77"/>
      <c r="D119" s="75"/>
      <c r="E119" s="21"/>
      <c r="F119"/>
      <c r="G119"/>
      <c r="H119"/>
      <c r="I119"/>
    </row>
    <row r="120" spans="1:9" ht="17.45">
      <c r="A120" s="138" t="s">
        <v>240</v>
      </c>
      <c r="B120" s="69" t="s">
        <v>249</v>
      </c>
      <c r="C120" s="124"/>
      <c r="D120" s="39"/>
      <c r="E120" s="21"/>
    </row>
    <row r="121" spans="1:9" ht="12.95">
      <c r="A121" s="139" t="s">
        <v>242</v>
      </c>
      <c r="B121" s="70" t="s">
        <v>243</v>
      </c>
      <c r="C121" s="46" t="s">
        <v>76</v>
      </c>
      <c r="D121" s="39"/>
    </row>
    <row r="122" spans="1:9" ht="12.95">
      <c r="A122" s="139" t="s">
        <v>244</v>
      </c>
      <c r="B122" s="70" t="s">
        <v>245</v>
      </c>
      <c r="C122" s="124"/>
      <c r="D122" s="39"/>
    </row>
    <row r="123" spans="1:9" ht="12.95">
      <c r="A123" s="139" t="s">
        <v>246</v>
      </c>
      <c r="B123" s="70" t="s">
        <v>247</v>
      </c>
      <c r="C123" s="59"/>
      <c r="D123" s="71"/>
    </row>
  </sheetData>
  <mergeCells count="11">
    <mergeCell ref="A112:C112"/>
    <mergeCell ref="A58:C58"/>
    <mergeCell ref="A100:C100"/>
    <mergeCell ref="A3:C3"/>
    <mergeCell ref="A17:C17"/>
    <mergeCell ref="A31:C31"/>
    <mergeCell ref="A48:C48"/>
    <mergeCell ref="A50:C50"/>
    <mergeCell ref="A54:C54"/>
    <mergeCell ref="A39:C39"/>
    <mergeCell ref="A94:C94"/>
  </mergeCells>
  <dataValidations count="30">
    <dataValidation allowBlank="1" showInputMessage="1" showErrorMessage="1" prompt="Внесите дату, к пример: 01.01.2000" sqref="C44:C45 C26:C28 C123 C111 C5 C7" xr:uid="{00000000-0002-0000-0100-000000000000}"/>
    <dataValidation type="whole" allowBlank="1" showInputMessage="1" showErrorMessage="1" sqref="C91 C94" xr:uid="{00000000-0002-0000-0100-000001000000}">
      <formula1>0</formula1>
      <formula2>10000</formula2>
    </dataValidation>
    <dataValidation type="date" allowBlank="1" showInputMessage="1" showErrorMessage="1" prompt="Введите дату" sqref="C89" xr:uid="{00000000-0002-0000-0100-000002000000}">
      <formula1>36526</formula1>
      <formula2>401769</formula2>
    </dataValidation>
    <dataValidation type="decimal" allowBlank="1" showInputMessage="1" showErrorMessage="1" sqref="C87 C90" xr:uid="{00000000-0002-0000-0100-000003000000}">
      <formula1>0</formula1>
      <formula2>1</formula2>
    </dataValidation>
    <dataValidation type="whole" allowBlank="1" showInputMessage="1" showErrorMessage="1" prompt="ПОСТОПЛАТА: Введите число от 15 до 100 календарных дней" sqref="C36" xr:uid="{00000000-0002-0000-0100-000004000000}">
      <formula1>1</formula1>
      <formula2>100</formula2>
    </dataValidation>
    <dataValidation type="list" allowBlank="1" showInputMessage="1" showErrorMessage="1" prompt="Заполните 7.2.0-7.2.5 и повторно выберите порядок оплаты" sqref="C48" xr:uid="{00000000-0002-0000-0100-000005000000}">
      <formula1>INDIRECT($C$33)</formula1>
    </dataValidation>
    <dataValidation allowBlank="1" showInputMessage="1" showErrorMessage="1" prompt="Данное условие может быть применимо только при закупке товара, приобретаемого насыпью, наливом, по весу или объему" sqref="C86" xr:uid="{00000000-0002-0000-0100-000006000000}"/>
    <dataValidation allowBlank="1" showInputMessage="1" showErrorMessage="1" prompt="Автоматический расчет,введите % предоплаты" sqref="C38 C47" xr:uid="{00000000-0002-0000-0100-000007000000}"/>
    <dataValidation type="list" allowBlank="1" showInputMessage="1" showErrorMessage="1" prompt="Внесите процент предоплаты, если требуется" sqref="C37" xr:uid="{00000000-0002-0000-0100-000008000000}">
      <formula1>"10%,20%,30%,40%,50%,60%,70%,80%,90%,100%"</formula1>
    </dataValidation>
    <dataValidation type="list" allowBlank="1" showInputMessage="1" showErrorMessage="1" sqref="C100" xr:uid="{00000000-0002-0000-0100-000009000000}">
      <formula1>$L$2:$L$6</formula1>
    </dataValidation>
    <dataValidation type="list" allowBlank="1" showInputMessage="1" showErrorMessage="1" sqref="C121" xr:uid="{00000000-0002-0000-0100-00000A000000}">
      <formula1>"(Выпадающий список), Устава, Доверенности,Альтернативное подписание"</formula1>
    </dataValidation>
    <dataValidation type="list" allowBlank="1" showInputMessage="1" showErrorMessage="1" prompt="Сначала определите базовые условия оплаты *6.2.0._x000a_Если требуется, заполните *6.2.1-*6.2.6 и повторно выберите порядок оплаты_x000a_" sqref="C41" xr:uid="{00000000-0002-0000-0100-00000B000000}">
      <formula1>INDIRECT($C$40)</formula1>
    </dataValidation>
    <dataValidation allowBlank="1" showInputMessage="1" showErrorMessage="1" prompt="Если сотрудник ЦОБ, то данные в справочнике столбцы U:W" sqref="B16" xr:uid="{00000000-0002-0000-0100-00000C000000}"/>
    <dataValidation type="whole" allowBlank="1" showInputMessage="1" showErrorMessage="1" prompt="ПРЕДОПЛАТА: Введите число от 15 до 100 календарных дней" sqref="C35" xr:uid="{00000000-0002-0000-0100-00000D000000}">
      <formula1>1</formula1>
      <formula2>100</formula2>
    </dataValidation>
    <dataValidation allowBlank="1" showInputMessage="1" showErrorMessage="1" prompt="Сначала определите базовые условия олаты._x000a_Если требуется, заполните 6.2.1-6.2.4 и повторно выберите порядок оплаты_x000a_" sqref="C34" xr:uid="{00000000-0002-0000-0100-00000E000000}"/>
    <dataValidation allowBlank="1" showInputMessage="1" showErrorMessage="1" prompt="Контактные данные Цоба на вкладке Справочник столбцы T:V_x000a_" sqref="C16" xr:uid="{00000000-0002-0000-0100-00000F000000}"/>
    <dataValidation type="whole" allowBlank="1" showInputMessage="1" showErrorMessage="1" prompt=" Введите кол-во календарных дней" sqref="C25" xr:uid="{00000000-0002-0000-0100-000010000000}">
      <formula1>2</formula1>
      <formula2>100</formula2>
    </dataValidation>
    <dataValidation type="list" allowBlank="1" showInputMessage="1" showErrorMessage="1" sqref="C112" xr:uid="{00000000-0002-0000-0100-000011000000}">
      <formula1>$K$2:$K$6</formula1>
    </dataValidation>
    <dataValidation type="whole" allowBlank="1" showInputMessage="1" showErrorMessage="1" prompt="ПРЕДОПЛАТА: Введите число от 15 до 100 календарных дней" sqref="C42" xr:uid="{00000000-0002-0000-0100-000012000000}">
      <formula1>5</formula1>
      <formula2>100</formula2>
    </dataValidation>
    <dataValidation type="whole" allowBlank="1" showInputMessage="1" showErrorMessage="1" prompt="ПОСТОПЛАТА: Введите число от 15 до 100 календарных дней" sqref="C43" xr:uid="{00000000-0002-0000-0100-000013000000}">
      <formula1>5</formula1>
      <formula2>100</formula2>
    </dataValidation>
    <dataValidation type="list" allowBlank="1" showInputMessage="1" showErrorMessage="1" sqref="C95" xr:uid="{00000000-0002-0000-0100-000014000000}">
      <formula1>"да,нет"</formula1>
    </dataValidation>
    <dataValidation type="list" allowBlank="1" showInputMessage="1" showErrorMessage="1" sqref="C109" xr:uid="{00000000-0002-0000-0100-000015000000}">
      <formula1>"(Выпадающий список), Устава, Доверенности,ИП,Договора управления"</formula1>
    </dataValidation>
    <dataValidation type="list" allowBlank="1" showInputMessage="1" showErrorMessage="1" prompt="Внесите процент предоплаты, если требуется" sqref="C46" xr:uid="{00000000-0002-0000-0100-000016000000}">
      <formula1>"5%,10%,20%,30%,40%,50%,60%,70%,80%,90%,100%"</formula1>
    </dataValidation>
    <dataValidation allowBlank="1" showInputMessage="1" showErrorMessage="1" prompt="Укажите адрес Поставщика для отправки оригинала ДД в п.14.2" sqref="C13" xr:uid="{00000000-0002-0000-0100-000017000000}"/>
    <dataValidation allowBlank="1" showInputMessage="1" showErrorMessage="1" prompt="внесите в п.8.1.-8.2. кол-во месяцев и повторно выберите гарантию" sqref="C53" xr:uid="{00000000-0002-0000-0100-000018000000}"/>
    <dataValidation allowBlank="1" showInputMessage="1" showErrorMessage="1" prompt="Включаются в текст ДС в случае закупки хим.продукции, являющейся материалом нерегулярного потребления (МНР), либо хим.продукции с критичным для Покупателя сроком поставки." sqref="B55" xr:uid="{00000000-0002-0000-0100-000019000000}"/>
    <dataValidation type="list" allowBlank="1" showInputMessage="1" showErrorMessage="1" prompt="Включаются в текст ДС в случае закупки хим.продукции, являющейся материалом нерегулярного потребления (МНР), либо хим.продукции с критичным для Покупателя сроком поставки." sqref="C55" xr:uid="{00000000-0002-0000-0100-00001A000000}">
      <formula1>"да,нет"</formula1>
    </dataValidation>
    <dataValidation allowBlank="1" showInputMessage="1" showErrorMessage="1" prompt="Дополнительное поле" sqref="C22:C23" xr:uid="{00000000-0002-0000-0100-00001B000000}"/>
    <dataValidation allowBlank="1" showInputMessage="1" showErrorMessage="1" prompt="конкретные требования к качеству Товара, ссылку на ГОСТ/Т,Приложение" sqref="C49" xr:uid="{00000000-0002-0000-0100-00001C000000}"/>
    <dataValidation type="list" allowBlank="1" showInputMessage="1" showErrorMessage="1" sqref="C97" xr:uid="{00000000-0002-0000-0100-00001D000000}">
      <formula1>$L$2:$L$4</formula1>
    </dataValidation>
  </dataValidations>
  <pageMargins left="0.7" right="0.7" top="0.75" bottom="0.75" header="0.3" footer="0.3"/>
  <pageSetup paperSize="9" orientation="portrait" r:id="rId1"/>
  <customProperties>
    <customPr name="EpmWorksheetKeyString_GUID" r:id="rId2"/>
  </customProperties>
  <extLst>
    <ext xmlns:x14="http://schemas.microsoft.com/office/spreadsheetml/2009/9/main" uri="{CCE6A557-97BC-4b89-ADB6-D9C93CAAB3DF}">
      <x14:dataValidations xmlns:xm="http://schemas.microsoft.com/office/excel/2006/main" count="12">
        <x14:dataValidation type="list" allowBlank="1" showInputMessage="1" showErrorMessage="1" errorTitle="Нарушение % по трем ценам" error="3-ая цена не может уменьшать стоимость поставки более чем на 20%._x000a_" prompt="Введите процент скидки от 0 до 20, без знака %" xr:uid="{00000000-0002-0000-0100-00001E000000}">
          <x14:formula1>
            <xm:f>Справочник!$Z$2:$Z$12</xm:f>
          </x14:formula1>
          <xm:sqref>C57</xm:sqref>
        </x14:dataValidation>
        <x14:dataValidation type="list" allowBlank="1" showInputMessage="1" showErrorMessage="1" errorTitle="Нарушение % по трем ценам" error="3-ая цена не может уменьшать стоимость поставки более чем на 20%." prompt="Введите процент скидки от 0 до 20, без знака %" xr:uid="{00000000-0002-0000-0100-00001F000000}">
          <x14:formula1>
            <xm:f>Справочник!$Y$2:$Y$11</xm:f>
          </x14:formula1>
          <xm:sqref>C56</xm:sqref>
        </x14:dataValidation>
        <x14:dataValidation type="list" allowBlank="1" showInputMessage="1" showErrorMessage="1" xr:uid="{00000000-0002-0000-0100-000020000000}">
          <x14:formula1>
            <xm:f>Справочник!$W$2:$W$9</xm:f>
          </x14:formula1>
          <xm:sqref>C14</xm:sqref>
        </x14:dataValidation>
        <x14:dataValidation type="list" allowBlank="1" showInputMessage="1" showErrorMessage="1" xr:uid="{00000000-0002-0000-0100-000021000000}">
          <x14:formula1>
            <xm:f>Справочник!$J$2:$J$5</xm:f>
          </x14:formula1>
          <xm:sqref>C33</xm:sqref>
        </x14:dataValidation>
        <x14:dataValidation type="list" allowBlank="1" showInputMessage="1" showErrorMessage="1" xr:uid="{00000000-0002-0000-0100-000022000000}">
          <x14:formula1>
            <xm:f>Справочник!$F$2:$F$7</xm:f>
          </x14:formula1>
          <xm:sqref>C19</xm:sqref>
        </x14:dataValidation>
        <x14:dataValidation type="list" allowBlank="1" showInputMessage="1" showErrorMessage="1" xr:uid="{00000000-0002-0000-0100-000023000000}">
          <x14:formula1>
            <xm:f>Справочник!$M$2:$M$5</xm:f>
          </x14:formula1>
          <xm:sqref>C40</xm:sqref>
        </x14:dataValidation>
        <x14:dataValidation type="list" allowBlank="1" showInputMessage="1" showErrorMessage="1" prompt="если требуется, заполните 5.1-5.4 и повторно выберите срок поставки" xr:uid="{00000000-0002-0000-0100-000024000000}">
          <x14:formula1>
            <xm:f>Справочник!$H$2:$H$9</xm:f>
          </x14:formula1>
          <xm:sqref>C24</xm:sqref>
        </x14:dataValidation>
        <x14:dataValidation type="list" allowBlank="1" showInputMessage="1" showErrorMessage="1" xr:uid="{00000000-0002-0000-0100-000025000000}">
          <x14:formula1>
            <xm:f>Справочник!$P$2:$P$7</xm:f>
          </x14:formula1>
          <xm:sqref>C54</xm:sqref>
        </x14:dataValidation>
        <x14:dataValidation type="list" allowBlank="1" showInputMessage="1" showErrorMessage="1" xr:uid="{00000000-0002-0000-0100-000026000000}">
          <x14:formula1>
            <xm:f>Справочник!$I$2:$I$5</xm:f>
          </x14:formula1>
          <xm:sqref>C32</xm:sqref>
        </x14:dataValidation>
        <x14:dataValidation type="list" allowBlank="1" showInputMessage="1" showErrorMessage="1" xr:uid="{00000000-0002-0000-0100-000027000000}">
          <x14:formula1>
            <xm:f>Справочник!$Q$2:$Q$8</xm:f>
          </x14:formula1>
          <xm:sqref>C29</xm:sqref>
        </x14:dataValidation>
        <x14:dataValidation type="list" allowBlank="1" showInputMessage="1" showErrorMessage="1" xr:uid="{00000000-0002-0000-0100-000028000000}">
          <x14:formula1>
            <xm:f>Справочник!$R$2:$R$100</xm:f>
          </x14:formula1>
          <xm:sqref>C52</xm:sqref>
        </x14:dataValidation>
        <x14:dataValidation type="list" allowBlank="1" showInputMessage="1" showErrorMessage="1" xr:uid="{00000000-0002-0000-0100-000029000000}">
          <x14:formula1>
            <xm:f>Справочник!$A$2:$A$38</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5">
    <tabColor theme="9"/>
    <pageSetUpPr fitToPage="1"/>
  </sheetPr>
  <dimension ref="A1:T318"/>
  <sheetViews>
    <sheetView showGridLines="0" tabSelected="1" topLeftCell="A292" zoomScale="40" zoomScaleNormal="40" zoomScaleSheetLayoutView="55" zoomScalePageLayoutView="48" workbookViewId="0" xr3:uid="{842E5F09-E766-5B8D-85AF-A39847EA96FD}">
      <selection activeCell="B303" sqref="B303:R303"/>
    </sheetView>
  </sheetViews>
  <sheetFormatPr defaultColWidth="9.140625" defaultRowHeight="23.1"/>
  <cols>
    <col min="1" max="1" width="16.5703125" style="79" customWidth="1"/>
    <col min="2" max="2" width="34.5703125" style="79" customWidth="1"/>
    <col min="3" max="3" width="26.42578125" style="79" customWidth="1"/>
    <col min="4" max="4" width="38.42578125" style="79" customWidth="1"/>
    <col min="5" max="5" width="13.140625" style="79" customWidth="1"/>
    <col min="6" max="6" width="9.42578125" style="79" customWidth="1"/>
    <col min="7" max="7" width="19.42578125" style="79" customWidth="1"/>
    <col min="8" max="8" width="18.42578125" style="79" customWidth="1"/>
    <col min="9" max="9" width="15.140625" style="79" customWidth="1"/>
    <col min="10" max="10" width="24.42578125" style="79" customWidth="1"/>
    <col min="11" max="11" width="20.85546875" style="79" customWidth="1"/>
    <col min="12" max="12" width="15.85546875" style="79" customWidth="1"/>
    <col min="13" max="13" width="20.5703125" style="79" customWidth="1"/>
    <col min="14" max="14" width="22.140625" style="79" customWidth="1"/>
    <col min="15" max="15" width="38.7109375" style="79" customWidth="1"/>
    <col min="16" max="16" width="38" style="79" customWidth="1"/>
    <col min="17" max="17" width="20.28515625" style="79" customWidth="1"/>
    <col min="18" max="18" width="23" style="79" customWidth="1"/>
    <col min="19" max="19" width="9.140625" style="79"/>
    <col min="20" max="20" width="14.28515625" style="79" customWidth="1"/>
    <col min="21" max="16384" width="9.140625" style="79"/>
  </cols>
  <sheetData>
    <row r="1" spans="1:20" ht="32.25" customHeight="1">
      <c r="A1" s="343" t="str">
        <f>IF('Форма ввода (консолид.ДС)'!C8&gt;0,'Форма ввода (консолид.ДС)'!C8,"")</f>
        <v/>
      </c>
      <c r="B1" s="343"/>
      <c r="C1" s="148"/>
      <c r="D1" s="303"/>
      <c r="E1" s="148"/>
      <c r="F1" s="149"/>
      <c r="G1" s="149"/>
      <c r="H1" s="149"/>
      <c r="I1" s="150"/>
      <c r="J1" s="150"/>
      <c r="K1" s="334" t="str">
        <f>CONCATENATE("Дополнительное соглашение № ",'Форма ввода (консолид.ДС)'!C6," от ",IF('Форма ввода (консолид.ДС)'!C7="","",TEXT(DAY('Форма ввода (консолид.ДС)'!C7),"00")&amp;" "&amp;VLOOKUP(MONTH('Форма ввода (консолид.ДС)'!C7),Справочник!$D$2:$E$13,2,0)&amp;" "&amp;YEAR('Форма ввода (консолид.ДС)'!C7)&amp;" г."))</f>
        <v xml:space="preserve">Дополнительное соглашение №  от </v>
      </c>
      <c r="L1" s="334"/>
      <c r="M1" s="334"/>
      <c r="N1" s="334"/>
      <c r="O1" s="334"/>
      <c r="P1" s="334"/>
      <c r="Q1" s="334"/>
      <c r="R1" s="177"/>
    </row>
    <row r="2" spans="1:20" ht="32.25" customHeight="1">
      <c r="A2" s="151"/>
      <c r="B2" s="152"/>
      <c r="C2" s="152"/>
      <c r="D2" s="152"/>
      <c r="E2" s="152"/>
      <c r="F2" s="152"/>
      <c r="G2" s="151"/>
      <c r="H2" s="151"/>
      <c r="I2" s="153"/>
      <c r="J2" s="153"/>
      <c r="K2" s="335" t="str">
        <f>CONCATENATE("к Договору поставки № ",'Форма ввода (консолид.ДС)'!C4," от ",IF('Форма ввода (консолид.ДС)'!C5="","",TEXT(DAY('Форма ввода (консолид.ДС)'!C5),"00")&amp;" "&amp;VLOOKUP(MONTH('Форма ввода (консолид.ДС)'!C5),Справочник!$D$2:$E$13,2,0)&amp;" "&amp;YEAR('Форма ввода (консолид.ДС)'!C5)&amp;" г."))</f>
        <v xml:space="preserve">к Договору поставки №  от </v>
      </c>
      <c r="L2" s="335"/>
      <c r="M2" s="335"/>
      <c r="N2" s="335"/>
      <c r="O2" s="335"/>
      <c r="P2" s="335"/>
      <c r="Q2" s="335"/>
      <c r="R2" s="178"/>
    </row>
    <row r="3" spans="1:20" ht="30.6">
      <c r="A3" s="151"/>
      <c r="B3" s="152"/>
      <c r="C3" s="152"/>
      <c r="D3" s="152"/>
      <c r="E3" s="152"/>
      <c r="F3" s="152"/>
      <c r="G3" s="151"/>
      <c r="H3" s="151"/>
      <c r="I3" s="151"/>
      <c r="J3" s="153"/>
      <c r="K3" s="151" t="str">
        <f>IF(AND('Форма ввода (консолид.ДС)'!C9="",'Форма ввода (консолид.ДС)'!C10=""),"",CONCATENATE("№ ДД: ",'Форма ввода (консолид.ДС)'!C9,"; № PO: ",'Форма ввода (консолид.ДС)'!C10))</f>
        <v/>
      </c>
      <c r="L3" s="151"/>
      <c r="M3" s="154"/>
      <c r="N3" s="154"/>
      <c r="O3" s="154"/>
      <c r="P3" s="154"/>
      <c r="Q3" s="151"/>
      <c r="R3" s="151"/>
    </row>
    <row r="4" spans="1:20" ht="30.6">
      <c r="A4" s="155"/>
      <c r="B4" s="155"/>
      <c r="C4" s="156"/>
      <c r="D4" s="156"/>
      <c r="E4" s="156"/>
      <c r="F4" s="156"/>
      <c r="G4" s="157"/>
      <c r="H4" s="157"/>
      <c r="I4" s="157"/>
      <c r="J4" s="157"/>
      <c r="K4" s="157"/>
      <c r="L4" s="157"/>
      <c r="M4" s="341"/>
      <c r="N4" s="341"/>
      <c r="O4" s="341"/>
      <c r="P4" s="341"/>
      <c r="Q4" s="341"/>
      <c r="R4" s="179"/>
    </row>
    <row r="5" spans="1:20" ht="30.2" customHeight="1">
      <c r="A5" s="196" t="s">
        <v>0</v>
      </c>
      <c r="B5" s="329" t="s">
        <v>1</v>
      </c>
      <c r="C5" s="329"/>
      <c r="D5" s="329"/>
      <c r="E5" s="329"/>
      <c r="F5" s="329"/>
      <c r="G5" s="329"/>
      <c r="H5" s="329"/>
      <c r="I5" s="329"/>
      <c r="J5" s="329"/>
      <c r="K5" s="329"/>
      <c r="L5" s="329"/>
      <c r="M5" s="329"/>
      <c r="N5" s="329"/>
      <c r="O5" s="329"/>
      <c r="P5" s="329"/>
      <c r="Q5" s="329"/>
      <c r="R5" s="329"/>
    </row>
    <row r="6" spans="1:20">
      <c r="A6" s="81"/>
      <c r="B6" s="336"/>
      <c r="C6" s="336"/>
      <c r="D6" s="336"/>
      <c r="E6" s="336"/>
      <c r="F6" s="336"/>
      <c r="G6" s="336"/>
      <c r="H6" s="336"/>
      <c r="I6" s="336"/>
      <c r="J6" s="336"/>
      <c r="K6" s="336"/>
      <c r="L6" s="336"/>
      <c r="M6" s="336"/>
      <c r="N6" s="336"/>
      <c r="O6" s="336"/>
      <c r="P6" s="336"/>
      <c r="Q6" s="336"/>
      <c r="R6" s="118"/>
    </row>
    <row r="7" spans="1:20" s="80" customFormat="1" ht="103.7" customHeight="1">
      <c r="A7" s="132" t="s">
        <v>2</v>
      </c>
      <c r="B7" s="132" t="s">
        <v>3</v>
      </c>
      <c r="C7" s="132" t="s">
        <v>4</v>
      </c>
      <c r="D7" s="132" t="s">
        <v>5</v>
      </c>
      <c r="E7" s="132" t="s">
        <v>6</v>
      </c>
      <c r="F7" s="132" t="s">
        <v>7</v>
      </c>
      <c r="G7" s="132" t="s">
        <v>8</v>
      </c>
      <c r="H7" s="132" t="s">
        <v>9</v>
      </c>
      <c r="I7" s="132" t="s">
        <v>10</v>
      </c>
      <c r="J7" s="132" t="str">
        <f>CONCATENATE("Цена за единицу измерения без НДС, ",'Форма ввода (консолид.ДС)'!$C$14)</f>
        <v>Цена за единицу измерения без НДС, (Выпадающий список)</v>
      </c>
      <c r="K7" s="132" t="str">
        <f>CONCATENATE("Стоимость без учета НДС, ",'Форма ввода (консолид.ДС)'!$C$14)</f>
        <v>Стоимость без учета НДС, (Выпадающий список)</v>
      </c>
      <c r="L7" s="132" t="s">
        <v>11</v>
      </c>
      <c r="M7" s="132" t="str">
        <f>CONCATENATE("Сумма НДС ",'Форма ввода (консолид.ДС)'!$C$14)</f>
        <v>Сумма НДС (Выпадающий список)</v>
      </c>
      <c r="N7" s="132" t="str">
        <f>CONCATENATE("Стоимость с учетом НДС, ",'Форма ввода (консолид.ДС)'!$C$14)</f>
        <v>Стоимость с учетом НДС, (Выпадающий список)</v>
      </c>
      <c r="O7" s="132" t="s">
        <v>59</v>
      </c>
      <c r="P7" s="132" t="s">
        <v>12</v>
      </c>
      <c r="Q7" s="132" t="s">
        <v>250</v>
      </c>
      <c r="R7" s="132" t="s">
        <v>251</v>
      </c>
    </row>
    <row r="8" spans="1:20" s="83" customFormat="1">
      <c r="A8" s="87"/>
      <c r="B8" s="87"/>
      <c r="C8" s="87"/>
      <c r="D8" s="87"/>
      <c r="E8" s="87"/>
      <c r="F8" s="87"/>
      <c r="G8" s="87"/>
      <c r="H8" s="87"/>
      <c r="I8" s="87"/>
      <c r="J8" s="87"/>
      <c r="K8" s="189">
        <f>ROUND(I8*J8,2)</f>
        <v>0</v>
      </c>
      <c r="L8" s="233"/>
      <c r="M8" s="189">
        <f>IF(L8="Без НДС",0,ROUND(K8*L8,2))</f>
        <v>0</v>
      </c>
      <c r="N8" s="189">
        <f>M8+K8</f>
        <v>0</v>
      </c>
      <c r="O8" s="87"/>
      <c r="P8" s="232"/>
      <c r="Q8" s="235"/>
      <c r="R8" s="232"/>
      <c r="S8" s="228">
        <f>IF(O8="АО «СибурТюменьГаз»","СТГ",IF(O8="ООО «БИАКСПЛЕН»","БАП",IF(O8="АО «Сибур-Нефтехим»","СНХ",)))</f>
        <v>0</v>
      </c>
      <c r="T8" s="228" t="e">
        <f>VLOOKUP(O8,Справочник!B:G,6,0)</f>
        <v>#N/A</v>
      </c>
    </row>
    <row r="9" spans="1:20" s="83" customFormat="1">
      <c r="A9" s="87"/>
      <c r="B9" s="87"/>
      <c r="C9" s="87"/>
      <c r="D9" s="87"/>
      <c r="E9" s="87"/>
      <c r="F9" s="87"/>
      <c r="G9" s="87"/>
      <c r="H9" s="87"/>
      <c r="I9" s="87"/>
      <c r="J9" s="87"/>
      <c r="K9" s="189">
        <f t="shared" ref="K9:K72" si="0">ROUND(I9*J9,2)</f>
        <v>0</v>
      </c>
      <c r="L9" s="234"/>
      <c r="M9" s="189">
        <f t="shared" ref="M9:M72" si="1">IF(L9="Без НДС",0,ROUND(K9*L9,2))</f>
        <v>0</v>
      </c>
      <c r="N9" s="189">
        <f t="shared" ref="N9:N72" si="2">M9+K9</f>
        <v>0</v>
      </c>
      <c r="O9" s="87"/>
      <c r="P9" s="232"/>
      <c r="Q9" s="235"/>
      <c r="R9" s="232"/>
      <c r="S9" s="228">
        <f t="shared" ref="S9:S17" si="3">IF(O9="АО «СибурТюменьГаз»","СТГ",IF(O9="ООО «БИАКСПЛЕН»","БАП",IF(O9="АО «Сибур-Нефтехим»","СНХ",)))</f>
        <v>0</v>
      </c>
      <c r="T9" s="228" t="e">
        <f>VLOOKUP(O9,Справочник!B:G,6,0)</f>
        <v>#N/A</v>
      </c>
    </row>
    <row r="10" spans="1:20" s="83" customFormat="1">
      <c r="A10" s="87"/>
      <c r="B10" s="87"/>
      <c r="C10" s="87"/>
      <c r="D10" s="87"/>
      <c r="E10" s="87"/>
      <c r="F10" s="87"/>
      <c r="G10" s="87"/>
      <c r="H10" s="87"/>
      <c r="I10" s="87"/>
      <c r="J10" s="87"/>
      <c r="K10" s="189">
        <f t="shared" si="0"/>
        <v>0</v>
      </c>
      <c r="L10" s="234"/>
      <c r="M10" s="189">
        <f t="shared" si="1"/>
        <v>0</v>
      </c>
      <c r="N10" s="189">
        <f t="shared" si="2"/>
        <v>0</v>
      </c>
      <c r="O10" s="87"/>
      <c r="P10" s="232"/>
      <c r="Q10" s="235"/>
      <c r="R10" s="232"/>
      <c r="S10" s="228">
        <f t="shared" si="3"/>
        <v>0</v>
      </c>
      <c r="T10" s="228" t="e">
        <f>VLOOKUP(O10,Справочник!B:G,6,0)</f>
        <v>#N/A</v>
      </c>
    </row>
    <row r="11" spans="1:20" s="83" customFormat="1">
      <c r="A11" s="87"/>
      <c r="B11" s="87"/>
      <c r="C11" s="87"/>
      <c r="D11" s="87"/>
      <c r="E11" s="87"/>
      <c r="F11" s="87"/>
      <c r="G11" s="87"/>
      <c r="H11" s="87"/>
      <c r="I11" s="87"/>
      <c r="J11" s="87"/>
      <c r="K11" s="189">
        <f t="shared" si="0"/>
        <v>0</v>
      </c>
      <c r="L11" s="234"/>
      <c r="M11" s="189">
        <f t="shared" si="1"/>
        <v>0</v>
      </c>
      <c r="N11" s="189">
        <f t="shared" si="2"/>
        <v>0</v>
      </c>
      <c r="O11" s="87"/>
      <c r="P11" s="232"/>
      <c r="Q11" s="235"/>
      <c r="R11" s="232"/>
      <c r="S11" s="228">
        <f t="shared" si="3"/>
        <v>0</v>
      </c>
      <c r="T11" s="228" t="e">
        <f>VLOOKUP(O11,Справочник!B:G,6,0)</f>
        <v>#N/A</v>
      </c>
    </row>
    <row r="12" spans="1:20" s="83" customFormat="1">
      <c r="A12" s="87"/>
      <c r="B12" s="87"/>
      <c r="C12" s="87"/>
      <c r="D12" s="87"/>
      <c r="E12" s="87"/>
      <c r="F12" s="87"/>
      <c r="G12" s="87"/>
      <c r="H12" s="87"/>
      <c r="I12" s="87"/>
      <c r="J12" s="87"/>
      <c r="K12" s="189">
        <f t="shared" si="0"/>
        <v>0</v>
      </c>
      <c r="L12" s="234"/>
      <c r="M12" s="189">
        <f t="shared" si="1"/>
        <v>0</v>
      </c>
      <c r="N12" s="189">
        <f t="shared" si="2"/>
        <v>0</v>
      </c>
      <c r="O12" s="87"/>
      <c r="P12" s="87"/>
      <c r="Q12" s="235"/>
      <c r="R12" s="232"/>
      <c r="S12" s="228">
        <f t="shared" si="3"/>
        <v>0</v>
      </c>
      <c r="T12" s="228" t="e">
        <f>VLOOKUP(O12,Справочник!B:G,6,0)</f>
        <v>#N/A</v>
      </c>
    </row>
    <row r="13" spans="1:20" s="83" customFormat="1">
      <c r="A13" s="87"/>
      <c r="B13" s="87"/>
      <c r="C13" s="87"/>
      <c r="D13" s="87"/>
      <c r="E13" s="87"/>
      <c r="F13" s="87"/>
      <c r="G13" s="87"/>
      <c r="H13" s="87"/>
      <c r="I13" s="87"/>
      <c r="J13" s="87"/>
      <c r="K13" s="189">
        <f t="shared" si="0"/>
        <v>0</v>
      </c>
      <c r="L13" s="234"/>
      <c r="M13" s="189">
        <f t="shared" si="1"/>
        <v>0</v>
      </c>
      <c r="N13" s="189">
        <f t="shared" si="2"/>
        <v>0</v>
      </c>
      <c r="O13" s="87"/>
      <c r="P13" s="87"/>
      <c r="Q13" s="235"/>
      <c r="R13" s="232"/>
      <c r="S13" s="228">
        <f t="shared" si="3"/>
        <v>0</v>
      </c>
      <c r="T13" s="228" t="e">
        <f>VLOOKUP(O13,Справочник!B:G,6,0)</f>
        <v>#N/A</v>
      </c>
    </row>
    <row r="14" spans="1:20" s="83" customFormat="1">
      <c r="A14" s="87"/>
      <c r="B14" s="87"/>
      <c r="C14" s="87"/>
      <c r="D14" s="87"/>
      <c r="E14" s="87"/>
      <c r="F14" s="87"/>
      <c r="G14" s="87"/>
      <c r="H14" s="87"/>
      <c r="I14" s="87"/>
      <c r="J14" s="87"/>
      <c r="K14" s="189">
        <f t="shared" si="0"/>
        <v>0</v>
      </c>
      <c r="L14" s="234"/>
      <c r="M14" s="189">
        <f t="shared" si="1"/>
        <v>0</v>
      </c>
      <c r="N14" s="189">
        <f t="shared" si="2"/>
        <v>0</v>
      </c>
      <c r="O14" s="87"/>
      <c r="P14" s="87"/>
      <c r="Q14" s="235"/>
      <c r="R14" s="232"/>
      <c r="S14" s="228">
        <f t="shared" si="3"/>
        <v>0</v>
      </c>
      <c r="T14" s="228" t="e">
        <f>VLOOKUP(O14,Справочник!B:G,6,0)</f>
        <v>#N/A</v>
      </c>
    </row>
    <row r="15" spans="1:20" s="83" customFormat="1">
      <c r="A15" s="87"/>
      <c r="B15" s="87"/>
      <c r="C15" s="87"/>
      <c r="D15" s="87"/>
      <c r="E15" s="87"/>
      <c r="F15" s="87"/>
      <c r="G15" s="87"/>
      <c r="H15" s="87"/>
      <c r="I15" s="87"/>
      <c r="J15" s="87"/>
      <c r="K15" s="189">
        <f t="shared" si="0"/>
        <v>0</v>
      </c>
      <c r="L15" s="234"/>
      <c r="M15" s="189">
        <f t="shared" si="1"/>
        <v>0</v>
      </c>
      <c r="N15" s="189">
        <f t="shared" si="2"/>
        <v>0</v>
      </c>
      <c r="O15" s="87"/>
      <c r="P15" s="87"/>
      <c r="Q15" s="235"/>
      <c r="R15" s="232"/>
      <c r="S15" s="228">
        <f t="shared" si="3"/>
        <v>0</v>
      </c>
      <c r="T15" s="228" t="e">
        <f>VLOOKUP(O15,Справочник!B:G,6,0)</f>
        <v>#N/A</v>
      </c>
    </row>
    <row r="16" spans="1:20" s="83" customFormat="1">
      <c r="A16" s="87"/>
      <c r="B16" s="87"/>
      <c r="C16" s="87"/>
      <c r="D16" s="87"/>
      <c r="E16" s="87"/>
      <c r="F16" s="87"/>
      <c r="G16" s="87"/>
      <c r="H16" s="87"/>
      <c r="I16" s="87"/>
      <c r="J16" s="87"/>
      <c r="K16" s="189">
        <f t="shared" si="0"/>
        <v>0</v>
      </c>
      <c r="L16" s="234"/>
      <c r="M16" s="189">
        <f t="shared" si="1"/>
        <v>0</v>
      </c>
      <c r="N16" s="189">
        <f t="shared" si="2"/>
        <v>0</v>
      </c>
      <c r="O16" s="87"/>
      <c r="P16" s="87"/>
      <c r="Q16" s="235"/>
      <c r="R16" s="232"/>
      <c r="S16" s="228">
        <f t="shared" si="3"/>
        <v>0</v>
      </c>
      <c r="T16" s="228" t="e">
        <f>VLOOKUP(O16,Справочник!B:G,6,0)</f>
        <v>#N/A</v>
      </c>
    </row>
    <row r="17" spans="1:20" s="83" customFormat="1">
      <c r="A17" s="87"/>
      <c r="B17" s="87"/>
      <c r="C17" s="87"/>
      <c r="D17" s="87"/>
      <c r="E17" s="87"/>
      <c r="F17" s="87"/>
      <c r="G17" s="87"/>
      <c r="H17" s="87"/>
      <c r="I17" s="87"/>
      <c r="J17" s="87"/>
      <c r="K17" s="189">
        <f t="shared" si="0"/>
        <v>0</v>
      </c>
      <c r="L17" s="234"/>
      <c r="M17" s="189">
        <f t="shared" si="1"/>
        <v>0</v>
      </c>
      <c r="N17" s="189">
        <f t="shared" si="2"/>
        <v>0</v>
      </c>
      <c r="O17" s="87"/>
      <c r="P17" s="87"/>
      <c r="Q17" s="235"/>
      <c r="R17" s="232"/>
      <c r="S17" s="228">
        <f t="shared" si="3"/>
        <v>0</v>
      </c>
      <c r="T17" s="228" t="e">
        <f>VLOOKUP(O17,Справочник!B:G,6,0)</f>
        <v>#N/A</v>
      </c>
    </row>
    <row r="18" spans="1:20" s="83" customFormat="1">
      <c r="A18" s="190" t="str">
        <f>"ПОДЫТОГ " &amp; O8 &amp; ":"</f>
        <v>ПОДЫТОГ :</v>
      </c>
      <c r="B18" s="236"/>
      <c r="C18" s="186"/>
      <c r="D18" s="186"/>
      <c r="E18" s="186"/>
      <c r="F18" s="186"/>
      <c r="G18" s="186"/>
      <c r="H18" s="186"/>
      <c r="I18" s="186"/>
      <c r="J18" s="240"/>
      <c r="K18" s="191">
        <f>SUM(K8:K17)</f>
        <v>0</v>
      </c>
      <c r="L18" s="241"/>
      <c r="M18" s="191">
        <f>SUM(M8:M17)</f>
        <v>0</v>
      </c>
      <c r="N18" s="191">
        <f>SUM(N8:N17)</f>
        <v>0</v>
      </c>
      <c r="O18" s="236"/>
      <c r="P18" s="236"/>
      <c r="Q18" s="242"/>
      <c r="R18" s="243"/>
      <c r="S18" s="228"/>
      <c r="T18" s="228"/>
    </row>
    <row r="19" spans="1:20" s="83" customFormat="1">
      <c r="A19" s="87"/>
      <c r="B19" s="87"/>
      <c r="C19" s="87"/>
      <c r="D19" s="87"/>
      <c r="E19" s="87"/>
      <c r="F19" s="87"/>
      <c r="G19" s="87"/>
      <c r="H19" s="87"/>
      <c r="I19" s="87"/>
      <c r="J19" s="87"/>
      <c r="K19" s="189">
        <f t="shared" si="0"/>
        <v>0</v>
      </c>
      <c r="L19" s="234"/>
      <c r="M19" s="189">
        <f t="shared" si="1"/>
        <v>0</v>
      </c>
      <c r="N19" s="189">
        <f t="shared" si="2"/>
        <v>0</v>
      </c>
      <c r="O19" s="87"/>
      <c r="P19" s="232"/>
      <c r="Q19" s="235"/>
      <c r="R19" s="232"/>
      <c r="S19" s="228">
        <f>IF(O19="АО «СибурТюменьГаз»","СТГ",IF(O19="ООО «БИАКСПЛЕН»","БАП",IF(O19="АО «Сибур-Нефтехим»","СНХ",)))</f>
        <v>0</v>
      </c>
      <c r="T19" s="228" t="e">
        <f>VLOOKUP(O19,Справочник!B:G,6,0)</f>
        <v>#N/A</v>
      </c>
    </row>
    <row r="20" spans="1:20" s="83" customFormat="1">
      <c r="A20" s="87"/>
      <c r="B20" s="87"/>
      <c r="C20" s="87"/>
      <c r="D20" s="87"/>
      <c r="E20" s="87"/>
      <c r="F20" s="87"/>
      <c r="G20" s="87"/>
      <c r="H20" s="87"/>
      <c r="I20" s="87"/>
      <c r="J20" s="87"/>
      <c r="K20" s="189">
        <f t="shared" si="0"/>
        <v>0</v>
      </c>
      <c r="L20" s="234"/>
      <c r="M20" s="189">
        <f t="shared" si="1"/>
        <v>0</v>
      </c>
      <c r="N20" s="189">
        <f t="shared" si="2"/>
        <v>0</v>
      </c>
      <c r="O20" s="87"/>
      <c r="P20" s="232"/>
      <c r="Q20" s="235"/>
      <c r="R20" s="232"/>
      <c r="S20" s="228">
        <f t="shared" ref="S20:S28" si="4">IF(O20="АО «СибурТюменьГаз»","СТГ",IF(O20="ООО «БИАКСПЛЕН»","БАП",IF(O20="АО «Сибур-Нефтехим»","СНХ",)))</f>
        <v>0</v>
      </c>
      <c r="T20" s="228" t="e">
        <f>VLOOKUP(O20,Справочник!B:G,6,0)</f>
        <v>#N/A</v>
      </c>
    </row>
    <row r="21" spans="1:20" s="83" customFormat="1">
      <c r="A21" s="87"/>
      <c r="B21" s="87"/>
      <c r="C21" s="87"/>
      <c r="D21" s="87"/>
      <c r="E21" s="87"/>
      <c r="F21" s="87"/>
      <c r="G21" s="87"/>
      <c r="H21" s="87"/>
      <c r="I21" s="87"/>
      <c r="J21" s="87"/>
      <c r="K21" s="189">
        <f t="shared" si="0"/>
        <v>0</v>
      </c>
      <c r="L21" s="234"/>
      <c r="M21" s="189">
        <f t="shared" si="1"/>
        <v>0</v>
      </c>
      <c r="N21" s="189">
        <f t="shared" si="2"/>
        <v>0</v>
      </c>
      <c r="O21" s="87"/>
      <c r="P21" s="232"/>
      <c r="Q21" s="235"/>
      <c r="R21" s="232"/>
      <c r="S21" s="228">
        <f t="shared" si="4"/>
        <v>0</v>
      </c>
      <c r="T21" s="228" t="e">
        <f>VLOOKUP(O21,Справочник!B:G,6,0)</f>
        <v>#N/A</v>
      </c>
    </row>
    <row r="22" spans="1:20" s="83" customFormat="1">
      <c r="A22" s="87"/>
      <c r="B22" s="87"/>
      <c r="C22" s="87"/>
      <c r="D22" s="87"/>
      <c r="E22" s="87"/>
      <c r="F22" s="87"/>
      <c r="G22" s="87"/>
      <c r="H22" s="87"/>
      <c r="I22" s="87"/>
      <c r="J22" s="87"/>
      <c r="K22" s="189">
        <f t="shared" si="0"/>
        <v>0</v>
      </c>
      <c r="L22" s="234"/>
      <c r="M22" s="189">
        <f t="shared" si="1"/>
        <v>0</v>
      </c>
      <c r="N22" s="189">
        <f t="shared" si="2"/>
        <v>0</v>
      </c>
      <c r="O22" s="87"/>
      <c r="P22" s="232"/>
      <c r="Q22" s="235"/>
      <c r="R22" s="232"/>
      <c r="S22" s="228">
        <f t="shared" si="4"/>
        <v>0</v>
      </c>
      <c r="T22" s="228" t="e">
        <f>VLOOKUP(O22,Справочник!B:G,6,0)</f>
        <v>#N/A</v>
      </c>
    </row>
    <row r="23" spans="1:20" s="83" customFormat="1">
      <c r="A23" s="87"/>
      <c r="B23" s="87"/>
      <c r="C23" s="87"/>
      <c r="D23" s="87"/>
      <c r="E23" s="87"/>
      <c r="F23" s="87"/>
      <c r="G23" s="87"/>
      <c r="H23" s="87"/>
      <c r="I23" s="87"/>
      <c r="J23" s="87"/>
      <c r="K23" s="189">
        <f t="shared" si="0"/>
        <v>0</v>
      </c>
      <c r="L23" s="234"/>
      <c r="M23" s="189">
        <f t="shared" si="1"/>
        <v>0</v>
      </c>
      <c r="N23" s="189">
        <f t="shared" si="2"/>
        <v>0</v>
      </c>
      <c r="O23" s="87"/>
      <c r="P23" s="87"/>
      <c r="Q23" s="235"/>
      <c r="R23" s="232"/>
      <c r="S23" s="228">
        <f t="shared" si="4"/>
        <v>0</v>
      </c>
      <c r="T23" s="228" t="e">
        <f>VLOOKUP(O23,Справочник!B:G,6,0)</f>
        <v>#N/A</v>
      </c>
    </row>
    <row r="24" spans="1:20" s="83" customFormat="1">
      <c r="A24" s="87"/>
      <c r="B24" s="87"/>
      <c r="C24" s="87"/>
      <c r="D24" s="87"/>
      <c r="E24" s="87"/>
      <c r="F24" s="87"/>
      <c r="G24" s="87"/>
      <c r="H24" s="87"/>
      <c r="I24" s="87"/>
      <c r="J24" s="87"/>
      <c r="K24" s="189">
        <f t="shared" si="0"/>
        <v>0</v>
      </c>
      <c r="L24" s="234"/>
      <c r="M24" s="189">
        <f t="shared" si="1"/>
        <v>0</v>
      </c>
      <c r="N24" s="189">
        <f t="shared" si="2"/>
        <v>0</v>
      </c>
      <c r="O24" s="87"/>
      <c r="P24" s="87"/>
      <c r="Q24" s="235"/>
      <c r="R24" s="232"/>
      <c r="S24" s="228">
        <f t="shared" si="4"/>
        <v>0</v>
      </c>
      <c r="T24" s="228" t="e">
        <f>VLOOKUP(O24,Справочник!B:G,6,0)</f>
        <v>#N/A</v>
      </c>
    </row>
    <row r="25" spans="1:20" s="83" customFormat="1">
      <c r="A25" s="87"/>
      <c r="B25" s="87"/>
      <c r="C25" s="87"/>
      <c r="D25" s="87"/>
      <c r="E25" s="87"/>
      <c r="F25" s="87"/>
      <c r="G25" s="87"/>
      <c r="H25" s="87"/>
      <c r="I25" s="87"/>
      <c r="J25" s="87"/>
      <c r="K25" s="189">
        <f t="shared" si="0"/>
        <v>0</v>
      </c>
      <c r="L25" s="234"/>
      <c r="M25" s="189">
        <f t="shared" si="1"/>
        <v>0</v>
      </c>
      <c r="N25" s="189">
        <f t="shared" si="2"/>
        <v>0</v>
      </c>
      <c r="O25" s="87"/>
      <c r="P25" s="87"/>
      <c r="Q25" s="235"/>
      <c r="R25" s="232"/>
      <c r="S25" s="228">
        <f t="shared" si="4"/>
        <v>0</v>
      </c>
      <c r="T25" s="228" t="e">
        <f>VLOOKUP(O25,Справочник!B:G,6,0)</f>
        <v>#N/A</v>
      </c>
    </row>
    <row r="26" spans="1:20" s="83" customFormat="1">
      <c r="A26" s="87"/>
      <c r="B26" s="87"/>
      <c r="C26" s="87"/>
      <c r="D26" s="87"/>
      <c r="E26" s="87"/>
      <c r="F26" s="87"/>
      <c r="G26" s="87"/>
      <c r="H26" s="87"/>
      <c r="I26" s="87"/>
      <c r="J26" s="87"/>
      <c r="K26" s="189">
        <f t="shared" si="0"/>
        <v>0</v>
      </c>
      <c r="L26" s="234"/>
      <c r="M26" s="189">
        <f t="shared" si="1"/>
        <v>0</v>
      </c>
      <c r="N26" s="189">
        <f t="shared" si="2"/>
        <v>0</v>
      </c>
      <c r="O26" s="87"/>
      <c r="P26" s="87"/>
      <c r="Q26" s="235"/>
      <c r="R26" s="232"/>
      <c r="S26" s="228">
        <f t="shared" si="4"/>
        <v>0</v>
      </c>
      <c r="T26" s="228" t="e">
        <f>VLOOKUP(O26,Справочник!B:G,6,0)</f>
        <v>#N/A</v>
      </c>
    </row>
    <row r="27" spans="1:20" s="83" customFormat="1">
      <c r="A27" s="87"/>
      <c r="B27" s="87"/>
      <c r="C27" s="87"/>
      <c r="D27" s="87"/>
      <c r="E27" s="87"/>
      <c r="F27" s="87"/>
      <c r="G27" s="87"/>
      <c r="H27" s="87"/>
      <c r="I27" s="87"/>
      <c r="J27" s="87"/>
      <c r="K27" s="189">
        <f t="shared" si="0"/>
        <v>0</v>
      </c>
      <c r="L27" s="234"/>
      <c r="M27" s="189">
        <f t="shared" si="1"/>
        <v>0</v>
      </c>
      <c r="N27" s="189">
        <f t="shared" si="2"/>
        <v>0</v>
      </c>
      <c r="O27" s="87"/>
      <c r="P27" s="87"/>
      <c r="Q27" s="235"/>
      <c r="R27" s="232"/>
      <c r="S27" s="228">
        <f t="shared" si="4"/>
        <v>0</v>
      </c>
      <c r="T27" s="228" t="e">
        <f>VLOOKUP(O27,Справочник!B:G,6,0)</f>
        <v>#N/A</v>
      </c>
    </row>
    <row r="28" spans="1:20" s="83" customFormat="1">
      <c r="A28" s="87"/>
      <c r="B28" s="87"/>
      <c r="C28" s="87"/>
      <c r="D28" s="87"/>
      <c r="E28" s="87"/>
      <c r="F28" s="87"/>
      <c r="G28" s="87"/>
      <c r="H28" s="87"/>
      <c r="I28" s="87"/>
      <c r="J28" s="87"/>
      <c r="K28" s="189">
        <f t="shared" si="0"/>
        <v>0</v>
      </c>
      <c r="L28" s="234"/>
      <c r="M28" s="189">
        <f t="shared" si="1"/>
        <v>0</v>
      </c>
      <c r="N28" s="189">
        <f t="shared" si="2"/>
        <v>0</v>
      </c>
      <c r="O28" s="87"/>
      <c r="P28" s="87"/>
      <c r="Q28" s="235"/>
      <c r="R28" s="232"/>
      <c r="S28" s="228">
        <f t="shared" si="4"/>
        <v>0</v>
      </c>
      <c r="T28" s="228" t="e">
        <f>VLOOKUP(O28,Справочник!B:G,6,0)</f>
        <v>#N/A</v>
      </c>
    </row>
    <row r="29" spans="1:20" s="83" customFormat="1">
      <c r="A29" s="190" t="str">
        <f>"ПОДЫТОГ " &amp; O19 &amp; ":"</f>
        <v>ПОДЫТОГ :</v>
      </c>
      <c r="B29" s="236"/>
      <c r="C29" s="186"/>
      <c r="D29" s="186"/>
      <c r="E29" s="186"/>
      <c r="F29" s="186"/>
      <c r="G29" s="186"/>
      <c r="H29" s="186"/>
      <c r="I29" s="186"/>
      <c r="J29" s="240"/>
      <c r="K29" s="191">
        <f>SUM(K19:K28)</f>
        <v>0</v>
      </c>
      <c r="L29" s="241"/>
      <c r="M29" s="191">
        <f>SUM(M19:M28)</f>
        <v>0</v>
      </c>
      <c r="N29" s="191">
        <f>SUM(N19:N28)</f>
        <v>0</v>
      </c>
      <c r="O29" s="236"/>
      <c r="P29" s="236"/>
      <c r="Q29" s="242"/>
      <c r="R29" s="243"/>
      <c r="S29" s="228"/>
      <c r="T29" s="228"/>
    </row>
    <row r="30" spans="1:20" s="83" customFormat="1">
      <c r="A30" s="87"/>
      <c r="B30" s="87"/>
      <c r="C30" s="87"/>
      <c r="D30" s="87"/>
      <c r="E30" s="87"/>
      <c r="F30" s="87"/>
      <c r="G30" s="87"/>
      <c r="H30" s="87"/>
      <c r="I30" s="87"/>
      <c r="J30" s="87"/>
      <c r="K30" s="189">
        <f t="shared" si="0"/>
        <v>0</v>
      </c>
      <c r="L30" s="234"/>
      <c r="M30" s="189">
        <f t="shared" si="1"/>
        <v>0</v>
      </c>
      <c r="N30" s="189">
        <f t="shared" si="2"/>
        <v>0</v>
      </c>
      <c r="O30" s="87"/>
      <c r="P30" s="232"/>
      <c r="Q30" s="235"/>
      <c r="R30" s="232"/>
      <c r="S30" s="228">
        <f t="shared" ref="S30" si="5">IF(O30="АО «СибурТюменьГаз»","СТГ",IF(O30="ООО «БИАКСПЛЕН»","БАП",IF(O30="АО «Сибур-Нефтехим»","СНХ",)))</f>
        <v>0</v>
      </c>
      <c r="T30" s="228" t="e">
        <f>VLOOKUP(O30,Справочник!B:G,6,0)</f>
        <v>#N/A</v>
      </c>
    </row>
    <row r="31" spans="1:20" s="83" customFormat="1">
      <c r="A31" s="87"/>
      <c r="B31" s="87"/>
      <c r="C31" s="87"/>
      <c r="D31" s="87"/>
      <c r="E31" s="87"/>
      <c r="F31" s="87"/>
      <c r="G31" s="87"/>
      <c r="H31" s="87"/>
      <c r="I31" s="87"/>
      <c r="J31" s="87"/>
      <c r="K31" s="189">
        <f t="shared" si="0"/>
        <v>0</v>
      </c>
      <c r="L31" s="234"/>
      <c r="M31" s="189">
        <f t="shared" si="1"/>
        <v>0</v>
      </c>
      <c r="N31" s="189">
        <f t="shared" si="2"/>
        <v>0</v>
      </c>
      <c r="O31" s="87"/>
      <c r="P31" s="232"/>
      <c r="Q31" s="235"/>
      <c r="R31" s="232"/>
      <c r="S31" s="228">
        <f t="shared" ref="S31:S39" si="6">IF(O31="АО «СибурТюменьГаз»","СТГ",IF(O31="ООО «БИАКСПЛЕН»","БАП",IF(O31="АО «Сибур-Нефтехим»","СНХ",)))</f>
        <v>0</v>
      </c>
      <c r="T31" s="228" t="e">
        <f>VLOOKUP(O31,Справочник!B:G,6,0)</f>
        <v>#N/A</v>
      </c>
    </row>
    <row r="32" spans="1:20" s="83" customFormat="1">
      <c r="A32" s="87"/>
      <c r="B32" s="87"/>
      <c r="C32" s="87"/>
      <c r="D32" s="87"/>
      <c r="E32" s="87"/>
      <c r="F32" s="87"/>
      <c r="G32" s="87"/>
      <c r="H32" s="87"/>
      <c r="I32" s="87"/>
      <c r="J32" s="87"/>
      <c r="K32" s="189">
        <f t="shared" si="0"/>
        <v>0</v>
      </c>
      <c r="L32" s="234"/>
      <c r="M32" s="189">
        <f t="shared" si="1"/>
        <v>0</v>
      </c>
      <c r="N32" s="189">
        <f t="shared" si="2"/>
        <v>0</v>
      </c>
      <c r="O32" s="87"/>
      <c r="P32" s="232"/>
      <c r="Q32" s="235"/>
      <c r="R32" s="232"/>
      <c r="S32" s="228">
        <f t="shared" si="6"/>
        <v>0</v>
      </c>
      <c r="T32" s="228" t="e">
        <f>VLOOKUP(O32,Справочник!B:G,6,0)</f>
        <v>#N/A</v>
      </c>
    </row>
    <row r="33" spans="1:20" s="83" customFormat="1">
      <c r="A33" s="87"/>
      <c r="B33" s="87"/>
      <c r="C33" s="87"/>
      <c r="D33" s="87"/>
      <c r="E33" s="87"/>
      <c r="F33" s="87"/>
      <c r="G33" s="87"/>
      <c r="H33" s="87"/>
      <c r="I33" s="87"/>
      <c r="J33" s="87"/>
      <c r="K33" s="189">
        <f t="shared" si="0"/>
        <v>0</v>
      </c>
      <c r="L33" s="234"/>
      <c r="M33" s="189">
        <f t="shared" si="1"/>
        <v>0</v>
      </c>
      <c r="N33" s="189">
        <f t="shared" si="2"/>
        <v>0</v>
      </c>
      <c r="O33" s="87"/>
      <c r="P33" s="232"/>
      <c r="Q33" s="235"/>
      <c r="R33" s="232"/>
      <c r="S33" s="228">
        <f t="shared" si="6"/>
        <v>0</v>
      </c>
      <c r="T33" s="228" t="e">
        <f>VLOOKUP(O33,Справочник!B:G,6,0)</f>
        <v>#N/A</v>
      </c>
    </row>
    <row r="34" spans="1:20" s="83" customFormat="1">
      <c r="A34" s="87"/>
      <c r="B34" s="87"/>
      <c r="C34" s="87"/>
      <c r="D34" s="87"/>
      <c r="E34" s="87"/>
      <c r="F34" s="87"/>
      <c r="G34" s="87"/>
      <c r="H34" s="87"/>
      <c r="I34" s="87"/>
      <c r="J34" s="87"/>
      <c r="K34" s="189">
        <f t="shared" si="0"/>
        <v>0</v>
      </c>
      <c r="L34" s="234"/>
      <c r="M34" s="189">
        <f t="shared" si="1"/>
        <v>0</v>
      </c>
      <c r="N34" s="189">
        <f t="shared" si="2"/>
        <v>0</v>
      </c>
      <c r="O34" s="87"/>
      <c r="P34" s="87"/>
      <c r="Q34" s="235"/>
      <c r="R34" s="232"/>
      <c r="S34" s="228">
        <f t="shared" si="6"/>
        <v>0</v>
      </c>
      <c r="T34" s="228" t="e">
        <f>VLOOKUP(O34,Справочник!B:G,6,0)</f>
        <v>#N/A</v>
      </c>
    </row>
    <row r="35" spans="1:20" s="83" customFormat="1">
      <c r="A35" s="87"/>
      <c r="B35" s="87"/>
      <c r="C35" s="87"/>
      <c r="D35" s="87"/>
      <c r="E35" s="87"/>
      <c r="F35" s="87"/>
      <c r="G35" s="87"/>
      <c r="H35" s="87"/>
      <c r="I35" s="87"/>
      <c r="J35" s="87"/>
      <c r="K35" s="189">
        <f t="shared" si="0"/>
        <v>0</v>
      </c>
      <c r="L35" s="234"/>
      <c r="M35" s="189">
        <f t="shared" si="1"/>
        <v>0</v>
      </c>
      <c r="N35" s="189">
        <f t="shared" si="2"/>
        <v>0</v>
      </c>
      <c r="O35" s="87"/>
      <c r="P35" s="87"/>
      <c r="Q35" s="235"/>
      <c r="R35" s="232"/>
      <c r="S35" s="228">
        <f t="shared" si="6"/>
        <v>0</v>
      </c>
      <c r="T35" s="228" t="e">
        <f>VLOOKUP(O35,Справочник!B:G,6,0)</f>
        <v>#N/A</v>
      </c>
    </row>
    <row r="36" spans="1:20" s="83" customFormat="1">
      <c r="A36" s="87"/>
      <c r="B36" s="87"/>
      <c r="C36" s="87"/>
      <c r="D36" s="87"/>
      <c r="E36" s="87"/>
      <c r="F36" s="87"/>
      <c r="G36" s="87"/>
      <c r="H36" s="87"/>
      <c r="I36" s="87"/>
      <c r="J36" s="87"/>
      <c r="K36" s="189">
        <f t="shared" si="0"/>
        <v>0</v>
      </c>
      <c r="L36" s="234"/>
      <c r="M36" s="189">
        <f t="shared" si="1"/>
        <v>0</v>
      </c>
      <c r="N36" s="189">
        <f t="shared" si="2"/>
        <v>0</v>
      </c>
      <c r="O36" s="87"/>
      <c r="P36" s="87"/>
      <c r="Q36" s="235"/>
      <c r="R36" s="232"/>
      <c r="S36" s="228">
        <f t="shared" si="6"/>
        <v>0</v>
      </c>
      <c r="T36" s="228" t="e">
        <f>VLOOKUP(O36,Справочник!B:G,6,0)</f>
        <v>#N/A</v>
      </c>
    </row>
    <row r="37" spans="1:20" s="83" customFormat="1">
      <c r="A37" s="87"/>
      <c r="B37" s="87"/>
      <c r="C37" s="87"/>
      <c r="D37" s="87"/>
      <c r="E37" s="87"/>
      <c r="F37" s="87"/>
      <c r="G37" s="87"/>
      <c r="H37" s="87"/>
      <c r="I37" s="87"/>
      <c r="J37" s="87"/>
      <c r="K37" s="189">
        <f t="shared" si="0"/>
        <v>0</v>
      </c>
      <c r="L37" s="234"/>
      <c r="M37" s="189">
        <f t="shared" si="1"/>
        <v>0</v>
      </c>
      <c r="N37" s="189">
        <f t="shared" si="2"/>
        <v>0</v>
      </c>
      <c r="O37" s="87"/>
      <c r="P37" s="87"/>
      <c r="Q37" s="235"/>
      <c r="R37" s="232"/>
      <c r="S37" s="228">
        <f t="shared" si="6"/>
        <v>0</v>
      </c>
      <c r="T37" s="228" t="e">
        <f>VLOOKUP(O37,Справочник!B:G,6,0)</f>
        <v>#N/A</v>
      </c>
    </row>
    <row r="38" spans="1:20" s="83" customFormat="1">
      <c r="A38" s="87"/>
      <c r="B38" s="87"/>
      <c r="C38" s="87"/>
      <c r="D38" s="87"/>
      <c r="E38" s="87"/>
      <c r="F38" s="87"/>
      <c r="G38" s="87"/>
      <c r="H38" s="87"/>
      <c r="I38" s="87"/>
      <c r="J38" s="87"/>
      <c r="K38" s="189">
        <f t="shared" si="0"/>
        <v>0</v>
      </c>
      <c r="L38" s="234"/>
      <c r="M38" s="189">
        <f t="shared" si="1"/>
        <v>0</v>
      </c>
      <c r="N38" s="189">
        <f t="shared" si="2"/>
        <v>0</v>
      </c>
      <c r="O38" s="87"/>
      <c r="P38" s="87"/>
      <c r="Q38" s="235"/>
      <c r="R38" s="232"/>
      <c r="S38" s="228">
        <f t="shared" si="6"/>
        <v>0</v>
      </c>
      <c r="T38" s="228" t="e">
        <f>VLOOKUP(O38,Справочник!B:G,6,0)</f>
        <v>#N/A</v>
      </c>
    </row>
    <row r="39" spans="1:20" s="83" customFormat="1">
      <c r="A39" s="87"/>
      <c r="B39" s="87"/>
      <c r="C39" s="87"/>
      <c r="D39" s="87"/>
      <c r="E39" s="87"/>
      <c r="F39" s="87"/>
      <c r="G39" s="87"/>
      <c r="H39" s="87"/>
      <c r="I39" s="87"/>
      <c r="J39" s="87"/>
      <c r="K39" s="189">
        <f t="shared" si="0"/>
        <v>0</v>
      </c>
      <c r="L39" s="234"/>
      <c r="M39" s="189">
        <f t="shared" si="1"/>
        <v>0</v>
      </c>
      <c r="N39" s="189">
        <f t="shared" si="2"/>
        <v>0</v>
      </c>
      <c r="O39" s="87"/>
      <c r="P39" s="87"/>
      <c r="Q39" s="235"/>
      <c r="R39" s="232"/>
      <c r="S39" s="228">
        <f t="shared" si="6"/>
        <v>0</v>
      </c>
      <c r="T39" s="228" t="e">
        <f>VLOOKUP(O39,Справочник!B:G,6,0)</f>
        <v>#N/A</v>
      </c>
    </row>
    <row r="40" spans="1:20" s="83" customFormat="1">
      <c r="A40" s="190" t="str">
        <f>"ПОДЫТОГ " &amp; O30 &amp; ":"</f>
        <v>ПОДЫТОГ :</v>
      </c>
      <c r="B40" s="236"/>
      <c r="C40" s="186"/>
      <c r="D40" s="186"/>
      <c r="E40" s="186"/>
      <c r="F40" s="186"/>
      <c r="G40" s="186"/>
      <c r="H40" s="186"/>
      <c r="I40" s="186"/>
      <c r="J40" s="240"/>
      <c r="K40" s="191">
        <f>SUM(K30:K39)</f>
        <v>0</v>
      </c>
      <c r="L40" s="241"/>
      <c r="M40" s="191">
        <f>SUM(M30:M39)</f>
        <v>0</v>
      </c>
      <c r="N40" s="191">
        <f>SUM(N30:N39)</f>
        <v>0</v>
      </c>
      <c r="O40" s="236"/>
      <c r="P40" s="236"/>
      <c r="Q40" s="242"/>
      <c r="R40" s="243"/>
      <c r="S40" s="228"/>
      <c r="T40" s="228"/>
    </row>
    <row r="41" spans="1:20" s="83" customFormat="1">
      <c r="A41" s="87"/>
      <c r="B41" s="87"/>
      <c r="C41" s="87"/>
      <c r="D41" s="87"/>
      <c r="E41" s="87"/>
      <c r="F41" s="87"/>
      <c r="G41" s="87"/>
      <c r="H41" s="87"/>
      <c r="I41" s="87"/>
      <c r="J41" s="87"/>
      <c r="K41" s="189">
        <f t="shared" si="0"/>
        <v>0</v>
      </c>
      <c r="L41" s="234"/>
      <c r="M41" s="189">
        <f t="shared" si="1"/>
        <v>0</v>
      </c>
      <c r="N41" s="189">
        <f t="shared" si="2"/>
        <v>0</v>
      </c>
      <c r="O41" s="87"/>
      <c r="P41" s="232"/>
      <c r="Q41" s="235"/>
      <c r="R41" s="232"/>
      <c r="S41" s="228">
        <f t="shared" ref="S41:S50" si="7">IF(O41="АО «СибурТюменьГаз»","СТГ",IF(O41="ООО «БИАКСПЛЕН»","БАП",IF(O41="АО «Сибур-Нефтехим»","СНХ",)))</f>
        <v>0</v>
      </c>
      <c r="T41" s="228" t="e">
        <f>VLOOKUP(O41,Справочник!B:G,6,0)</f>
        <v>#N/A</v>
      </c>
    </row>
    <row r="42" spans="1:20" s="83" customFormat="1">
      <c r="A42" s="87"/>
      <c r="B42" s="87"/>
      <c r="C42" s="87"/>
      <c r="D42" s="87"/>
      <c r="E42" s="87"/>
      <c r="F42" s="87"/>
      <c r="G42" s="87"/>
      <c r="H42" s="87"/>
      <c r="I42" s="87"/>
      <c r="J42" s="87"/>
      <c r="K42" s="189">
        <f t="shared" si="0"/>
        <v>0</v>
      </c>
      <c r="L42" s="234"/>
      <c r="M42" s="189">
        <f t="shared" si="1"/>
        <v>0</v>
      </c>
      <c r="N42" s="189">
        <f t="shared" si="2"/>
        <v>0</v>
      </c>
      <c r="O42" s="87"/>
      <c r="P42" s="232"/>
      <c r="Q42" s="235"/>
      <c r="R42" s="232"/>
      <c r="S42" s="228">
        <f t="shared" si="7"/>
        <v>0</v>
      </c>
      <c r="T42" s="228" t="e">
        <f>VLOOKUP(O42,Справочник!B:G,6,0)</f>
        <v>#N/A</v>
      </c>
    </row>
    <row r="43" spans="1:20" s="83" customFormat="1">
      <c r="A43" s="87"/>
      <c r="B43" s="87"/>
      <c r="C43" s="87"/>
      <c r="D43" s="87"/>
      <c r="E43" s="87"/>
      <c r="F43" s="87"/>
      <c r="G43" s="87"/>
      <c r="H43" s="87"/>
      <c r="I43" s="87"/>
      <c r="J43" s="87"/>
      <c r="K43" s="189">
        <f t="shared" si="0"/>
        <v>0</v>
      </c>
      <c r="L43" s="234"/>
      <c r="M43" s="189">
        <f t="shared" si="1"/>
        <v>0</v>
      </c>
      <c r="N43" s="189">
        <f t="shared" si="2"/>
        <v>0</v>
      </c>
      <c r="O43" s="87"/>
      <c r="P43" s="232"/>
      <c r="Q43" s="235"/>
      <c r="R43" s="232"/>
      <c r="S43" s="228">
        <f t="shared" si="7"/>
        <v>0</v>
      </c>
      <c r="T43" s="228" t="e">
        <f>VLOOKUP(O43,Справочник!B:G,6,0)</f>
        <v>#N/A</v>
      </c>
    </row>
    <row r="44" spans="1:20" s="83" customFormat="1">
      <c r="A44" s="87"/>
      <c r="B44" s="87"/>
      <c r="C44" s="87"/>
      <c r="D44" s="87"/>
      <c r="E44" s="87"/>
      <c r="F44" s="87"/>
      <c r="G44" s="87"/>
      <c r="H44" s="87"/>
      <c r="I44" s="87"/>
      <c r="J44" s="87"/>
      <c r="K44" s="189">
        <f t="shared" si="0"/>
        <v>0</v>
      </c>
      <c r="L44" s="234"/>
      <c r="M44" s="189">
        <f t="shared" si="1"/>
        <v>0</v>
      </c>
      <c r="N44" s="189">
        <f t="shared" si="2"/>
        <v>0</v>
      </c>
      <c r="O44" s="87"/>
      <c r="P44" s="232"/>
      <c r="Q44" s="235"/>
      <c r="R44" s="232"/>
      <c r="S44" s="228">
        <f t="shared" si="7"/>
        <v>0</v>
      </c>
      <c r="T44" s="228" t="e">
        <f>VLOOKUP(O44,Справочник!B:G,6,0)</f>
        <v>#N/A</v>
      </c>
    </row>
    <row r="45" spans="1:20" s="83" customFormat="1">
      <c r="A45" s="87"/>
      <c r="B45" s="87"/>
      <c r="C45" s="87"/>
      <c r="D45" s="87"/>
      <c r="E45" s="87"/>
      <c r="F45" s="87"/>
      <c r="G45" s="87"/>
      <c r="H45" s="87"/>
      <c r="I45" s="87"/>
      <c r="J45" s="87"/>
      <c r="K45" s="189">
        <f t="shared" si="0"/>
        <v>0</v>
      </c>
      <c r="L45" s="234"/>
      <c r="M45" s="189">
        <f t="shared" si="1"/>
        <v>0</v>
      </c>
      <c r="N45" s="189">
        <f t="shared" si="2"/>
        <v>0</v>
      </c>
      <c r="O45" s="87"/>
      <c r="P45" s="87"/>
      <c r="Q45" s="235"/>
      <c r="R45" s="232"/>
      <c r="S45" s="228">
        <f t="shared" si="7"/>
        <v>0</v>
      </c>
      <c r="T45" s="228" t="e">
        <f>VLOOKUP(O45,Справочник!B:G,6,0)</f>
        <v>#N/A</v>
      </c>
    </row>
    <row r="46" spans="1:20" s="83" customFormat="1">
      <c r="A46" s="87"/>
      <c r="B46" s="87"/>
      <c r="C46" s="87"/>
      <c r="D46" s="87"/>
      <c r="E46" s="87"/>
      <c r="F46" s="87"/>
      <c r="G46" s="87"/>
      <c r="H46" s="87"/>
      <c r="I46" s="87"/>
      <c r="J46" s="87"/>
      <c r="K46" s="189">
        <f t="shared" si="0"/>
        <v>0</v>
      </c>
      <c r="L46" s="234"/>
      <c r="M46" s="189">
        <f t="shared" si="1"/>
        <v>0</v>
      </c>
      <c r="N46" s="189">
        <f t="shared" si="2"/>
        <v>0</v>
      </c>
      <c r="O46" s="87"/>
      <c r="P46" s="87"/>
      <c r="Q46" s="235"/>
      <c r="R46" s="232"/>
      <c r="S46" s="228">
        <f t="shared" si="7"/>
        <v>0</v>
      </c>
      <c r="T46" s="228" t="e">
        <f>VLOOKUP(O46,Справочник!B:G,6,0)</f>
        <v>#N/A</v>
      </c>
    </row>
    <row r="47" spans="1:20" s="83" customFormat="1">
      <c r="A47" s="87"/>
      <c r="B47" s="87"/>
      <c r="C47" s="87"/>
      <c r="D47" s="87"/>
      <c r="E47" s="87"/>
      <c r="F47" s="232"/>
      <c r="G47" s="87"/>
      <c r="H47" s="87"/>
      <c r="I47" s="238"/>
      <c r="J47" s="239"/>
      <c r="K47" s="189">
        <f t="shared" si="0"/>
        <v>0</v>
      </c>
      <c r="L47" s="146"/>
      <c r="M47" s="189">
        <f t="shared" si="1"/>
        <v>0</v>
      </c>
      <c r="N47" s="189">
        <f t="shared" si="2"/>
        <v>0</v>
      </c>
      <c r="O47" s="87"/>
      <c r="P47" s="87"/>
      <c r="Q47" s="235"/>
      <c r="R47" s="232"/>
      <c r="S47" s="228">
        <f t="shared" si="7"/>
        <v>0</v>
      </c>
      <c r="T47" s="228" t="e">
        <f>VLOOKUP(O47,Справочник!B:G,6,0)</f>
        <v>#N/A</v>
      </c>
    </row>
    <row r="48" spans="1:20" s="83" customFormat="1">
      <c r="A48" s="87"/>
      <c r="B48" s="87"/>
      <c r="C48" s="87"/>
      <c r="D48" s="87"/>
      <c r="E48" s="87"/>
      <c r="F48" s="232"/>
      <c r="G48" s="87"/>
      <c r="H48" s="87"/>
      <c r="I48" s="238"/>
      <c r="J48" s="239"/>
      <c r="K48" s="189">
        <f t="shared" si="0"/>
        <v>0</v>
      </c>
      <c r="L48" s="91"/>
      <c r="M48" s="189">
        <f t="shared" si="1"/>
        <v>0</v>
      </c>
      <c r="N48" s="189">
        <f t="shared" si="2"/>
        <v>0</v>
      </c>
      <c r="O48" s="87"/>
      <c r="P48" s="87"/>
      <c r="Q48" s="235"/>
      <c r="R48" s="232"/>
      <c r="S48" s="228">
        <f t="shared" si="7"/>
        <v>0</v>
      </c>
      <c r="T48" s="228" t="e">
        <f>VLOOKUP(O48,Справочник!B:G,6,0)</f>
        <v>#N/A</v>
      </c>
    </row>
    <row r="49" spans="1:20" s="83" customFormat="1">
      <c r="A49" s="87"/>
      <c r="B49" s="87"/>
      <c r="C49" s="87"/>
      <c r="D49" s="87"/>
      <c r="E49" s="87"/>
      <c r="F49" s="232"/>
      <c r="G49" s="87"/>
      <c r="H49" s="87"/>
      <c r="I49" s="238"/>
      <c r="J49" s="239"/>
      <c r="K49" s="189">
        <f t="shared" si="0"/>
        <v>0</v>
      </c>
      <c r="L49" s="91"/>
      <c r="M49" s="189">
        <f t="shared" si="1"/>
        <v>0</v>
      </c>
      <c r="N49" s="189">
        <f t="shared" si="2"/>
        <v>0</v>
      </c>
      <c r="O49" s="87"/>
      <c r="P49" s="87"/>
      <c r="Q49" s="235"/>
      <c r="R49" s="232"/>
      <c r="S49" s="228">
        <f t="shared" si="7"/>
        <v>0</v>
      </c>
      <c r="T49" s="228" t="e">
        <f>VLOOKUP(O49,Справочник!B:G,6,0)</f>
        <v>#N/A</v>
      </c>
    </row>
    <row r="50" spans="1:20" s="83" customFormat="1">
      <c r="A50" s="87"/>
      <c r="B50" s="87"/>
      <c r="C50" s="87"/>
      <c r="D50" s="87"/>
      <c r="E50" s="87"/>
      <c r="F50" s="232"/>
      <c r="G50" s="87"/>
      <c r="H50" s="87"/>
      <c r="I50" s="238"/>
      <c r="J50" s="239"/>
      <c r="K50" s="189">
        <f t="shared" si="0"/>
        <v>0</v>
      </c>
      <c r="L50" s="91"/>
      <c r="M50" s="189">
        <f t="shared" si="1"/>
        <v>0</v>
      </c>
      <c r="N50" s="189">
        <f t="shared" si="2"/>
        <v>0</v>
      </c>
      <c r="O50" s="87"/>
      <c r="P50" s="87"/>
      <c r="Q50" s="235"/>
      <c r="R50" s="232"/>
      <c r="S50" s="228">
        <f t="shared" si="7"/>
        <v>0</v>
      </c>
      <c r="T50" s="228" t="e">
        <f>VLOOKUP(O50,Справочник!B:G,6,0)</f>
        <v>#N/A</v>
      </c>
    </row>
    <row r="51" spans="1:20" s="83" customFormat="1">
      <c r="A51" s="190" t="str">
        <f>"ПОДЫТОГ " &amp; O41 &amp; ":"</f>
        <v>ПОДЫТОГ :</v>
      </c>
      <c r="B51" s="236"/>
      <c r="C51" s="186"/>
      <c r="D51" s="186"/>
      <c r="E51" s="186"/>
      <c r="F51" s="186"/>
      <c r="G51" s="186"/>
      <c r="H51" s="186"/>
      <c r="I51" s="186"/>
      <c r="J51" s="240"/>
      <c r="K51" s="191">
        <f>SUM(K41:K50)</f>
        <v>0</v>
      </c>
      <c r="L51" s="241"/>
      <c r="M51" s="191">
        <f>SUM(M41:M50)</f>
        <v>0</v>
      </c>
      <c r="N51" s="191">
        <f>SUM(N41:N50)</f>
        <v>0</v>
      </c>
      <c r="O51" s="236"/>
      <c r="P51" s="236"/>
      <c r="Q51" s="242"/>
      <c r="R51" s="243"/>
      <c r="S51" s="228"/>
      <c r="T51" s="228"/>
    </row>
    <row r="52" spans="1:20" s="83" customFormat="1">
      <c r="A52" s="87"/>
      <c r="B52" s="203"/>
      <c r="C52" s="87"/>
      <c r="D52" s="87"/>
      <c r="E52" s="87"/>
      <c r="F52" s="232"/>
      <c r="G52" s="87"/>
      <c r="H52" s="87"/>
      <c r="I52" s="238"/>
      <c r="J52" s="239"/>
      <c r="K52" s="189">
        <f t="shared" si="0"/>
        <v>0</v>
      </c>
      <c r="L52" s="91"/>
      <c r="M52" s="189">
        <f t="shared" si="1"/>
        <v>0</v>
      </c>
      <c r="N52" s="189">
        <f t="shared" si="2"/>
        <v>0</v>
      </c>
      <c r="O52" s="87"/>
      <c r="P52" s="232"/>
      <c r="Q52" s="235"/>
      <c r="R52" s="232"/>
      <c r="S52" s="228">
        <f t="shared" ref="S52:S61" si="8">IF(O52="АО «СибурТюменьГаз»","СТГ",IF(O52="ООО «БИАКСПЛЕН»","БАП",IF(O52="АО «Сибур-Нефтехим»","СНХ",)))</f>
        <v>0</v>
      </c>
      <c r="T52" s="228" t="e">
        <f>VLOOKUP(O52,Справочник!B:G,6,0)</f>
        <v>#N/A</v>
      </c>
    </row>
    <row r="53" spans="1:20" s="83" customFormat="1">
      <c r="A53" s="87"/>
      <c r="B53" s="203"/>
      <c r="C53" s="87"/>
      <c r="D53" s="87"/>
      <c r="E53" s="87"/>
      <c r="F53" s="232"/>
      <c r="G53" s="87"/>
      <c r="H53" s="87"/>
      <c r="I53" s="238"/>
      <c r="J53" s="239"/>
      <c r="K53" s="189">
        <f t="shared" si="0"/>
        <v>0</v>
      </c>
      <c r="L53" s="91"/>
      <c r="M53" s="189">
        <f t="shared" si="1"/>
        <v>0</v>
      </c>
      <c r="N53" s="189">
        <f t="shared" si="2"/>
        <v>0</v>
      </c>
      <c r="O53" s="87"/>
      <c r="P53" s="232"/>
      <c r="Q53" s="235"/>
      <c r="R53" s="232"/>
      <c r="S53" s="228">
        <f t="shared" si="8"/>
        <v>0</v>
      </c>
      <c r="T53" s="228" t="e">
        <f>VLOOKUP(O53,Справочник!B:G,6,0)</f>
        <v>#N/A</v>
      </c>
    </row>
    <row r="54" spans="1:20" s="83" customFormat="1">
      <c r="A54" s="87"/>
      <c r="B54" s="203"/>
      <c r="C54" s="87"/>
      <c r="D54" s="87"/>
      <c r="E54" s="87"/>
      <c r="F54" s="232"/>
      <c r="G54" s="87"/>
      <c r="H54" s="87"/>
      <c r="I54" s="238"/>
      <c r="J54" s="239"/>
      <c r="K54" s="189">
        <f t="shared" si="0"/>
        <v>0</v>
      </c>
      <c r="L54" s="91"/>
      <c r="M54" s="189">
        <f t="shared" si="1"/>
        <v>0</v>
      </c>
      <c r="N54" s="189">
        <f t="shared" si="2"/>
        <v>0</v>
      </c>
      <c r="O54" s="87"/>
      <c r="P54" s="232"/>
      <c r="Q54" s="235"/>
      <c r="R54" s="232"/>
      <c r="S54" s="228">
        <f t="shared" si="8"/>
        <v>0</v>
      </c>
      <c r="T54" s="228" t="e">
        <f>VLOOKUP(O54,Справочник!B:G,6,0)</f>
        <v>#N/A</v>
      </c>
    </row>
    <row r="55" spans="1:20" s="83" customFormat="1">
      <c r="A55" s="87"/>
      <c r="B55" s="203"/>
      <c r="C55" s="87"/>
      <c r="D55" s="87"/>
      <c r="E55" s="87"/>
      <c r="F55" s="232"/>
      <c r="G55" s="87"/>
      <c r="H55" s="87"/>
      <c r="I55" s="238"/>
      <c r="J55" s="239"/>
      <c r="K55" s="189">
        <f t="shared" si="0"/>
        <v>0</v>
      </c>
      <c r="L55" s="91"/>
      <c r="M55" s="189">
        <f t="shared" si="1"/>
        <v>0</v>
      </c>
      <c r="N55" s="189">
        <f t="shared" si="2"/>
        <v>0</v>
      </c>
      <c r="O55" s="87"/>
      <c r="P55" s="232"/>
      <c r="Q55" s="235"/>
      <c r="R55" s="232"/>
      <c r="S55" s="228">
        <f t="shared" si="8"/>
        <v>0</v>
      </c>
      <c r="T55" s="228" t="e">
        <f>VLOOKUP(O55,Справочник!B:G,6,0)</f>
        <v>#N/A</v>
      </c>
    </row>
    <row r="56" spans="1:20" s="83" customFormat="1">
      <c r="A56" s="87"/>
      <c r="B56" s="203"/>
      <c r="C56" s="87"/>
      <c r="D56" s="87"/>
      <c r="E56" s="87"/>
      <c r="F56" s="232"/>
      <c r="G56" s="87"/>
      <c r="H56" s="87"/>
      <c r="I56" s="238"/>
      <c r="J56" s="239"/>
      <c r="K56" s="189">
        <f t="shared" si="0"/>
        <v>0</v>
      </c>
      <c r="L56" s="91"/>
      <c r="M56" s="189">
        <f t="shared" si="1"/>
        <v>0</v>
      </c>
      <c r="N56" s="189">
        <f t="shared" si="2"/>
        <v>0</v>
      </c>
      <c r="O56" s="87"/>
      <c r="P56" s="87"/>
      <c r="Q56" s="235"/>
      <c r="R56" s="232"/>
      <c r="S56" s="228">
        <f t="shared" si="8"/>
        <v>0</v>
      </c>
      <c r="T56" s="228" t="e">
        <f>VLOOKUP(O56,Справочник!B:G,6,0)</f>
        <v>#N/A</v>
      </c>
    </row>
    <row r="57" spans="1:20" s="83" customFormat="1">
      <c r="A57" s="87"/>
      <c r="B57" s="203"/>
      <c r="C57" s="87"/>
      <c r="D57" s="87"/>
      <c r="E57" s="87"/>
      <c r="F57" s="232"/>
      <c r="G57" s="87"/>
      <c r="H57" s="87"/>
      <c r="I57" s="238"/>
      <c r="J57" s="239"/>
      <c r="K57" s="189">
        <f t="shared" si="0"/>
        <v>0</v>
      </c>
      <c r="L57" s="91"/>
      <c r="M57" s="189">
        <f t="shared" si="1"/>
        <v>0</v>
      </c>
      <c r="N57" s="189">
        <f t="shared" si="2"/>
        <v>0</v>
      </c>
      <c r="O57" s="87"/>
      <c r="P57" s="87"/>
      <c r="Q57" s="235"/>
      <c r="R57" s="232"/>
      <c r="S57" s="228">
        <f t="shared" si="8"/>
        <v>0</v>
      </c>
      <c r="T57" s="228" t="e">
        <f>VLOOKUP(O57,Справочник!B:G,6,0)</f>
        <v>#N/A</v>
      </c>
    </row>
    <row r="58" spans="1:20" s="83" customFormat="1">
      <c r="A58" s="87"/>
      <c r="B58" s="203"/>
      <c r="C58" s="87"/>
      <c r="D58" s="87"/>
      <c r="E58" s="87"/>
      <c r="F58" s="232"/>
      <c r="G58" s="87"/>
      <c r="H58" s="87"/>
      <c r="I58" s="238"/>
      <c r="J58" s="239"/>
      <c r="K58" s="189">
        <f t="shared" si="0"/>
        <v>0</v>
      </c>
      <c r="L58" s="91"/>
      <c r="M58" s="189">
        <f t="shared" si="1"/>
        <v>0</v>
      </c>
      <c r="N58" s="189">
        <f t="shared" si="2"/>
        <v>0</v>
      </c>
      <c r="O58" s="87"/>
      <c r="P58" s="87"/>
      <c r="Q58" s="235"/>
      <c r="R58" s="232"/>
      <c r="S58" s="228">
        <f t="shared" si="8"/>
        <v>0</v>
      </c>
      <c r="T58" s="228" t="e">
        <f>VLOOKUP(O58,Справочник!B:G,6,0)</f>
        <v>#N/A</v>
      </c>
    </row>
    <row r="59" spans="1:20" s="83" customFormat="1">
      <c r="A59" s="87"/>
      <c r="B59" s="203"/>
      <c r="C59" s="87"/>
      <c r="D59" s="87"/>
      <c r="E59" s="87"/>
      <c r="F59" s="232"/>
      <c r="G59" s="87"/>
      <c r="H59" s="87"/>
      <c r="I59" s="238"/>
      <c r="J59" s="239"/>
      <c r="K59" s="189">
        <f t="shared" si="0"/>
        <v>0</v>
      </c>
      <c r="L59" s="91"/>
      <c r="M59" s="189">
        <f t="shared" si="1"/>
        <v>0</v>
      </c>
      <c r="N59" s="189">
        <f t="shared" si="2"/>
        <v>0</v>
      </c>
      <c r="O59" s="87"/>
      <c r="P59" s="87"/>
      <c r="Q59" s="235"/>
      <c r="R59" s="232"/>
      <c r="S59" s="228">
        <f t="shared" si="8"/>
        <v>0</v>
      </c>
      <c r="T59" s="228" t="e">
        <f>VLOOKUP(O59,Справочник!B:G,6,0)</f>
        <v>#N/A</v>
      </c>
    </row>
    <row r="60" spans="1:20" s="83" customFormat="1">
      <c r="A60" s="87"/>
      <c r="B60" s="203"/>
      <c r="C60" s="87"/>
      <c r="D60" s="87"/>
      <c r="E60" s="87"/>
      <c r="F60" s="232"/>
      <c r="G60" s="87"/>
      <c r="H60" s="87"/>
      <c r="I60" s="238"/>
      <c r="J60" s="239"/>
      <c r="K60" s="189">
        <f t="shared" si="0"/>
        <v>0</v>
      </c>
      <c r="L60" s="91"/>
      <c r="M60" s="189">
        <f t="shared" si="1"/>
        <v>0</v>
      </c>
      <c r="N60" s="189">
        <f t="shared" si="2"/>
        <v>0</v>
      </c>
      <c r="O60" s="87"/>
      <c r="P60" s="87"/>
      <c r="Q60" s="235"/>
      <c r="R60" s="232"/>
      <c r="S60" s="228">
        <f t="shared" si="8"/>
        <v>0</v>
      </c>
      <c r="T60" s="228" t="e">
        <f>VLOOKUP(O60,Справочник!B:G,6,0)</f>
        <v>#N/A</v>
      </c>
    </row>
    <row r="61" spans="1:20" s="83" customFormat="1">
      <c r="A61" s="87"/>
      <c r="B61" s="203"/>
      <c r="C61" s="87"/>
      <c r="D61" s="87"/>
      <c r="E61" s="87"/>
      <c r="F61" s="232"/>
      <c r="G61" s="87"/>
      <c r="H61" s="87"/>
      <c r="I61" s="238"/>
      <c r="J61" s="239"/>
      <c r="K61" s="189">
        <f t="shared" si="0"/>
        <v>0</v>
      </c>
      <c r="L61" s="91"/>
      <c r="M61" s="189">
        <f t="shared" si="1"/>
        <v>0</v>
      </c>
      <c r="N61" s="189">
        <f t="shared" si="2"/>
        <v>0</v>
      </c>
      <c r="O61" s="87"/>
      <c r="P61" s="87"/>
      <c r="Q61" s="235"/>
      <c r="R61" s="232"/>
      <c r="S61" s="228">
        <f t="shared" si="8"/>
        <v>0</v>
      </c>
      <c r="T61" s="228" t="e">
        <f>VLOOKUP(O61,Справочник!B:G,6,0)</f>
        <v>#N/A</v>
      </c>
    </row>
    <row r="62" spans="1:20" s="83" customFormat="1">
      <c r="A62" s="190" t="str">
        <f>"ПОДЫТОГ " &amp; O52 &amp; ":"</f>
        <v>ПОДЫТОГ :</v>
      </c>
      <c r="B62" s="236"/>
      <c r="C62" s="186"/>
      <c r="D62" s="186"/>
      <c r="E62" s="186"/>
      <c r="F62" s="186"/>
      <c r="G62" s="186"/>
      <c r="H62" s="186"/>
      <c r="I62" s="186"/>
      <c r="J62" s="240"/>
      <c r="K62" s="191">
        <f>SUM(K52:K61)</f>
        <v>0</v>
      </c>
      <c r="L62" s="241"/>
      <c r="M62" s="191">
        <f>SUM(M52:M61)</f>
        <v>0</v>
      </c>
      <c r="N62" s="191">
        <f>SUM(N52:N61)</f>
        <v>0</v>
      </c>
      <c r="O62" s="236"/>
      <c r="P62" s="236"/>
      <c r="Q62" s="242"/>
      <c r="R62" s="243"/>
      <c r="S62" s="228"/>
      <c r="T62" s="228"/>
    </row>
    <row r="63" spans="1:20" s="83" customFormat="1">
      <c r="A63" s="87"/>
      <c r="B63" s="87"/>
      <c r="C63" s="87"/>
      <c r="D63" s="87"/>
      <c r="E63" s="87"/>
      <c r="F63" s="232"/>
      <c r="G63" s="87"/>
      <c r="H63" s="87"/>
      <c r="I63" s="238"/>
      <c r="J63" s="239"/>
      <c r="K63" s="189">
        <f t="shared" si="0"/>
        <v>0</v>
      </c>
      <c r="L63" s="91"/>
      <c r="M63" s="189">
        <f t="shared" si="1"/>
        <v>0</v>
      </c>
      <c r="N63" s="189">
        <f t="shared" si="2"/>
        <v>0</v>
      </c>
      <c r="O63" s="87"/>
      <c r="P63" s="232"/>
      <c r="Q63" s="235"/>
      <c r="R63" s="232"/>
      <c r="S63" s="228">
        <f t="shared" ref="S63:S72" si="9">IF(O63="АО «СибурТюменьГаз»","СТГ",IF(O63="ООО «БИАКСПЛЕН»","БАП",IF(O63="АО «Сибур-Нефтехим»","СНХ",)))</f>
        <v>0</v>
      </c>
      <c r="T63" s="228" t="e">
        <f>VLOOKUP(O63,Справочник!B:G,6,0)</f>
        <v>#N/A</v>
      </c>
    </row>
    <row r="64" spans="1:20" s="83" customFormat="1">
      <c r="A64" s="87"/>
      <c r="B64" s="87"/>
      <c r="C64" s="87"/>
      <c r="D64" s="87"/>
      <c r="E64" s="87"/>
      <c r="F64" s="232"/>
      <c r="G64" s="87"/>
      <c r="H64" s="87"/>
      <c r="I64" s="238"/>
      <c r="J64" s="239"/>
      <c r="K64" s="189">
        <f t="shared" si="0"/>
        <v>0</v>
      </c>
      <c r="L64" s="91"/>
      <c r="M64" s="189">
        <f t="shared" si="1"/>
        <v>0</v>
      </c>
      <c r="N64" s="189">
        <f t="shared" si="2"/>
        <v>0</v>
      </c>
      <c r="O64" s="87"/>
      <c r="P64" s="232"/>
      <c r="Q64" s="235"/>
      <c r="R64" s="232"/>
      <c r="S64" s="228">
        <f t="shared" si="9"/>
        <v>0</v>
      </c>
      <c r="T64" s="228" t="e">
        <f>VLOOKUP(O64,Справочник!B:G,6,0)</f>
        <v>#N/A</v>
      </c>
    </row>
    <row r="65" spans="1:20" s="83" customFormat="1">
      <c r="A65" s="87"/>
      <c r="B65" s="87"/>
      <c r="C65" s="87"/>
      <c r="D65" s="87"/>
      <c r="E65" s="87"/>
      <c r="F65" s="232"/>
      <c r="G65" s="87"/>
      <c r="H65" s="87"/>
      <c r="I65" s="238"/>
      <c r="J65" s="239"/>
      <c r="K65" s="189">
        <f t="shared" si="0"/>
        <v>0</v>
      </c>
      <c r="L65" s="91"/>
      <c r="M65" s="189">
        <f t="shared" si="1"/>
        <v>0</v>
      </c>
      <c r="N65" s="189">
        <f t="shared" si="2"/>
        <v>0</v>
      </c>
      <c r="O65" s="87"/>
      <c r="P65" s="232"/>
      <c r="Q65" s="235"/>
      <c r="R65" s="232"/>
      <c r="S65" s="228">
        <f t="shared" si="9"/>
        <v>0</v>
      </c>
      <c r="T65" s="228" t="e">
        <f>VLOOKUP(O65,Справочник!B:G,6,0)</f>
        <v>#N/A</v>
      </c>
    </row>
    <row r="66" spans="1:20" s="83" customFormat="1">
      <c r="A66" s="87"/>
      <c r="B66" s="87"/>
      <c r="C66" s="87"/>
      <c r="D66" s="87"/>
      <c r="E66" s="87"/>
      <c r="F66" s="232"/>
      <c r="G66" s="87"/>
      <c r="H66" s="87"/>
      <c r="I66" s="238"/>
      <c r="J66" s="239"/>
      <c r="K66" s="189">
        <f t="shared" si="0"/>
        <v>0</v>
      </c>
      <c r="L66" s="91"/>
      <c r="M66" s="189">
        <f t="shared" si="1"/>
        <v>0</v>
      </c>
      <c r="N66" s="189">
        <f t="shared" si="2"/>
        <v>0</v>
      </c>
      <c r="O66" s="87"/>
      <c r="P66" s="232"/>
      <c r="Q66" s="235"/>
      <c r="R66" s="232"/>
      <c r="S66" s="228">
        <f t="shared" si="9"/>
        <v>0</v>
      </c>
      <c r="T66" s="228" t="e">
        <f>VLOOKUP(O66,Справочник!B:G,6,0)</f>
        <v>#N/A</v>
      </c>
    </row>
    <row r="67" spans="1:20" s="83" customFormat="1">
      <c r="A67" s="87"/>
      <c r="B67" s="87"/>
      <c r="C67" s="87"/>
      <c r="D67" s="87"/>
      <c r="E67" s="87"/>
      <c r="F67" s="232"/>
      <c r="G67" s="87"/>
      <c r="H67" s="87"/>
      <c r="I67" s="238"/>
      <c r="J67" s="239"/>
      <c r="K67" s="189">
        <f t="shared" si="0"/>
        <v>0</v>
      </c>
      <c r="L67" s="91"/>
      <c r="M67" s="189">
        <f t="shared" si="1"/>
        <v>0</v>
      </c>
      <c r="N67" s="189">
        <f t="shared" si="2"/>
        <v>0</v>
      </c>
      <c r="O67" s="87"/>
      <c r="P67" s="87"/>
      <c r="Q67" s="235"/>
      <c r="R67" s="232"/>
      <c r="S67" s="228">
        <f t="shared" si="9"/>
        <v>0</v>
      </c>
      <c r="T67" s="228" t="e">
        <f>VLOOKUP(O67,Справочник!B:G,6,0)</f>
        <v>#N/A</v>
      </c>
    </row>
    <row r="68" spans="1:20" s="83" customFormat="1">
      <c r="A68" s="87"/>
      <c r="B68" s="87"/>
      <c r="C68" s="87"/>
      <c r="D68" s="87"/>
      <c r="E68" s="87"/>
      <c r="F68" s="232"/>
      <c r="G68" s="87"/>
      <c r="H68" s="87"/>
      <c r="I68" s="238"/>
      <c r="J68" s="239"/>
      <c r="K68" s="189">
        <f t="shared" si="0"/>
        <v>0</v>
      </c>
      <c r="L68" s="91"/>
      <c r="M68" s="189">
        <f t="shared" si="1"/>
        <v>0</v>
      </c>
      <c r="N68" s="189">
        <f t="shared" si="2"/>
        <v>0</v>
      </c>
      <c r="O68" s="87"/>
      <c r="P68" s="87"/>
      <c r="Q68" s="235"/>
      <c r="R68" s="232"/>
      <c r="S68" s="228">
        <f t="shared" si="9"/>
        <v>0</v>
      </c>
      <c r="T68" s="228" t="e">
        <f>VLOOKUP(O68,Справочник!B:G,6,0)</f>
        <v>#N/A</v>
      </c>
    </row>
    <row r="69" spans="1:20" s="83" customFormat="1">
      <c r="A69" s="87"/>
      <c r="B69" s="87"/>
      <c r="C69" s="87"/>
      <c r="D69" s="87"/>
      <c r="E69" s="87"/>
      <c r="F69" s="232"/>
      <c r="G69" s="87"/>
      <c r="H69" s="87"/>
      <c r="I69" s="238"/>
      <c r="J69" s="239"/>
      <c r="K69" s="189">
        <f t="shared" si="0"/>
        <v>0</v>
      </c>
      <c r="L69" s="91"/>
      <c r="M69" s="189">
        <f t="shared" si="1"/>
        <v>0</v>
      </c>
      <c r="N69" s="189">
        <f t="shared" si="2"/>
        <v>0</v>
      </c>
      <c r="O69" s="87"/>
      <c r="P69" s="87"/>
      <c r="Q69" s="235"/>
      <c r="R69" s="232"/>
      <c r="S69" s="228">
        <f t="shared" si="9"/>
        <v>0</v>
      </c>
      <c r="T69" s="228" t="e">
        <f>VLOOKUP(O69,Справочник!B:G,6,0)</f>
        <v>#N/A</v>
      </c>
    </row>
    <row r="70" spans="1:20" s="83" customFormat="1">
      <c r="A70" s="87"/>
      <c r="B70" s="87"/>
      <c r="C70" s="87"/>
      <c r="D70" s="87"/>
      <c r="E70" s="87"/>
      <c r="F70" s="232"/>
      <c r="G70" s="87"/>
      <c r="H70" s="87"/>
      <c r="I70" s="238"/>
      <c r="J70" s="239"/>
      <c r="K70" s="189">
        <f t="shared" si="0"/>
        <v>0</v>
      </c>
      <c r="L70" s="91"/>
      <c r="M70" s="189">
        <f t="shared" si="1"/>
        <v>0</v>
      </c>
      <c r="N70" s="189">
        <f t="shared" si="2"/>
        <v>0</v>
      </c>
      <c r="O70" s="87"/>
      <c r="P70" s="87"/>
      <c r="Q70" s="235"/>
      <c r="R70" s="232"/>
      <c r="S70" s="228">
        <f t="shared" si="9"/>
        <v>0</v>
      </c>
      <c r="T70" s="228" t="e">
        <f>VLOOKUP(O70,Справочник!B:G,6,0)</f>
        <v>#N/A</v>
      </c>
    </row>
    <row r="71" spans="1:20" s="83" customFormat="1">
      <c r="A71" s="87"/>
      <c r="B71" s="87"/>
      <c r="C71" s="87"/>
      <c r="D71" s="87"/>
      <c r="E71" s="87"/>
      <c r="F71" s="232"/>
      <c r="G71" s="87"/>
      <c r="H71" s="87"/>
      <c r="I71" s="238"/>
      <c r="J71" s="239"/>
      <c r="K71" s="189">
        <f t="shared" si="0"/>
        <v>0</v>
      </c>
      <c r="L71" s="91"/>
      <c r="M71" s="189">
        <f t="shared" si="1"/>
        <v>0</v>
      </c>
      <c r="N71" s="189">
        <f t="shared" si="2"/>
        <v>0</v>
      </c>
      <c r="O71" s="87"/>
      <c r="P71" s="87"/>
      <c r="Q71" s="235"/>
      <c r="R71" s="232"/>
      <c r="S71" s="228">
        <f t="shared" si="9"/>
        <v>0</v>
      </c>
      <c r="T71" s="228" t="e">
        <f>VLOOKUP(O71,Справочник!B:G,6,0)</f>
        <v>#N/A</v>
      </c>
    </row>
    <row r="72" spans="1:20" s="83" customFormat="1">
      <c r="A72" s="87"/>
      <c r="B72" s="87"/>
      <c r="C72" s="87"/>
      <c r="D72" s="87"/>
      <c r="E72" s="87"/>
      <c r="F72" s="232"/>
      <c r="G72" s="87"/>
      <c r="H72" s="87"/>
      <c r="I72" s="238"/>
      <c r="J72" s="239"/>
      <c r="K72" s="189">
        <f t="shared" si="0"/>
        <v>0</v>
      </c>
      <c r="L72" s="91"/>
      <c r="M72" s="189">
        <f t="shared" si="1"/>
        <v>0</v>
      </c>
      <c r="N72" s="189">
        <f t="shared" si="2"/>
        <v>0</v>
      </c>
      <c r="O72" s="87"/>
      <c r="P72" s="87"/>
      <c r="Q72" s="235"/>
      <c r="R72" s="232"/>
      <c r="S72" s="228">
        <f t="shared" si="9"/>
        <v>0</v>
      </c>
      <c r="T72" s="228" t="e">
        <f>VLOOKUP(O72,Справочник!B:G,6,0)</f>
        <v>#N/A</v>
      </c>
    </row>
    <row r="73" spans="1:20" s="83" customFormat="1">
      <c r="A73" s="190" t="str">
        <f>"ПОДЫТОГ " &amp; O63 &amp; ":"</f>
        <v>ПОДЫТОГ :</v>
      </c>
      <c r="B73" s="236"/>
      <c r="C73" s="186"/>
      <c r="D73" s="186"/>
      <c r="E73" s="186"/>
      <c r="F73" s="186"/>
      <c r="G73" s="186"/>
      <c r="H73" s="186"/>
      <c r="I73" s="186"/>
      <c r="J73" s="240"/>
      <c r="K73" s="191">
        <f>SUM(K63:K72)</f>
        <v>0</v>
      </c>
      <c r="L73" s="241"/>
      <c r="M73" s="191">
        <f>SUM(M63:M72)</f>
        <v>0</v>
      </c>
      <c r="N73" s="191">
        <f>SUM(N63:N72)</f>
        <v>0</v>
      </c>
      <c r="O73" s="236"/>
      <c r="P73" s="236"/>
      <c r="Q73" s="242"/>
      <c r="R73" s="243"/>
      <c r="S73" s="228"/>
      <c r="T73" s="228"/>
    </row>
    <row r="74" spans="1:20" s="83" customFormat="1">
      <c r="A74" s="87"/>
      <c r="B74" s="87"/>
      <c r="C74" s="87"/>
      <c r="D74" s="87"/>
      <c r="E74" s="87"/>
      <c r="F74" s="232"/>
      <c r="G74" s="87"/>
      <c r="H74" s="87"/>
      <c r="I74" s="238"/>
      <c r="J74" s="239"/>
      <c r="K74" s="189">
        <f t="shared" ref="K74:K83" si="10">ROUND(I74*J74,2)</f>
        <v>0</v>
      </c>
      <c r="L74" s="91"/>
      <c r="M74" s="189">
        <f t="shared" ref="M74:M83" si="11">IF(L74="Без НДС",0,ROUND(K74*L74,2))</f>
        <v>0</v>
      </c>
      <c r="N74" s="189">
        <f t="shared" ref="N74:N83" si="12">M74+K74</f>
        <v>0</v>
      </c>
      <c r="O74" s="87"/>
      <c r="P74" s="232"/>
      <c r="Q74" s="235"/>
      <c r="R74" s="232"/>
      <c r="S74" s="228">
        <f t="shared" ref="S74:S83" si="13">IF(O74="АО «СибурТюменьГаз»","СТГ",IF(O74="ООО «БИАКСПЛЕН»","БАП",IF(O74="АО «Сибур-Нефтехим»","СНХ",)))</f>
        <v>0</v>
      </c>
      <c r="T74" s="228" t="e">
        <f>VLOOKUP(O74,Справочник!B:G,6,0)</f>
        <v>#N/A</v>
      </c>
    </row>
    <row r="75" spans="1:20" s="83" customFormat="1">
      <c r="A75" s="87"/>
      <c r="B75" s="87"/>
      <c r="C75" s="87"/>
      <c r="D75" s="87"/>
      <c r="E75" s="87"/>
      <c r="F75" s="232"/>
      <c r="G75" s="87"/>
      <c r="H75" s="87"/>
      <c r="I75" s="238"/>
      <c r="J75" s="239"/>
      <c r="K75" s="189">
        <f t="shared" si="10"/>
        <v>0</v>
      </c>
      <c r="L75" s="91"/>
      <c r="M75" s="189">
        <f t="shared" si="11"/>
        <v>0</v>
      </c>
      <c r="N75" s="189">
        <f t="shared" si="12"/>
        <v>0</v>
      </c>
      <c r="O75" s="87"/>
      <c r="P75" s="232"/>
      <c r="Q75" s="235"/>
      <c r="R75" s="232"/>
      <c r="S75" s="228">
        <f t="shared" si="13"/>
        <v>0</v>
      </c>
      <c r="T75" s="228" t="e">
        <f>VLOOKUP(O75,Справочник!B:G,6,0)</f>
        <v>#N/A</v>
      </c>
    </row>
    <row r="76" spans="1:20" s="83" customFormat="1">
      <c r="A76" s="87"/>
      <c r="B76" s="87"/>
      <c r="C76" s="87"/>
      <c r="D76" s="87"/>
      <c r="E76" s="87"/>
      <c r="F76" s="232"/>
      <c r="G76" s="87"/>
      <c r="H76" s="87"/>
      <c r="I76" s="238"/>
      <c r="J76" s="239"/>
      <c r="K76" s="189">
        <f t="shared" si="10"/>
        <v>0</v>
      </c>
      <c r="L76" s="91"/>
      <c r="M76" s="189">
        <f t="shared" si="11"/>
        <v>0</v>
      </c>
      <c r="N76" s="189">
        <f t="shared" si="12"/>
        <v>0</v>
      </c>
      <c r="O76" s="87"/>
      <c r="P76" s="232"/>
      <c r="Q76" s="235"/>
      <c r="R76" s="232"/>
      <c r="S76" s="228">
        <f t="shared" si="13"/>
        <v>0</v>
      </c>
      <c r="T76" s="228" t="e">
        <f>VLOOKUP(O76,Справочник!B:G,6,0)</f>
        <v>#N/A</v>
      </c>
    </row>
    <row r="77" spans="1:20" s="83" customFormat="1">
      <c r="A77" s="87"/>
      <c r="B77" s="87"/>
      <c r="C77" s="87"/>
      <c r="D77" s="87"/>
      <c r="E77" s="87"/>
      <c r="F77" s="232"/>
      <c r="G77" s="87"/>
      <c r="H77" s="87"/>
      <c r="I77" s="238"/>
      <c r="J77" s="239"/>
      <c r="K77" s="189">
        <f t="shared" si="10"/>
        <v>0</v>
      </c>
      <c r="L77" s="91"/>
      <c r="M77" s="189">
        <f t="shared" si="11"/>
        <v>0</v>
      </c>
      <c r="N77" s="189">
        <f t="shared" si="12"/>
        <v>0</v>
      </c>
      <c r="O77" s="87"/>
      <c r="P77" s="232"/>
      <c r="Q77" s="235"/>
      <c r="R77" s="232"/>
      <c r="S77" s="228">
        <f t="shared" si="13"/>
        <v>0</v>
      </c>
      <c r="T77" s="228" t="e">
        <f>VLOOKUP(O77,Справочник!B:G,6,0)</f>
        <v>#N/A</v>
      </c>
    </row>
    <row r="78" spans="1:20" s="83" customFormat="1">
      <c r="A78" s="87"/>
      <c r="B78" s="87"/>
      <c r="C78" s="87"/>
      <c r="D78" s="87"/>
      <c r="E78" s="87"/>
      <c r="F78" s="232"/>
      <c r="G78" s="87"/>
      <c r="H78" s="87"/>
      <c r="I78" s="238"/>
      <c r="J78" s="239"/>
      <c r="K78" s="189">
        <f t="shared" si="10"/>
        <v>0</v>
      </c>
      <c r="L78" s="91"/>
      <c r="M78" s="189">
        <f t="shared" si="11"/>
        <v>0</v>
      </c>
      <c r="N78" s="189">
        <f t="shared" si="12"/>
        <v>0</v>
      </c>
      <c r="O78" s="87"/>
      <c r="P78" s="87"/>
      <c r="Q78" s="235"/>
      <c r="R78" s="232"/>
      <c r="S78" s="228">
        <f t="shared" si="13"/>
        <v>0</v>
      </c>
      <c r="T78" s="228" t="e">
        <f>VLOOKUP(O78,Справочник!B:G,6,0)</f>
        <v>#N/A</v>
      </c>
    </row>
    <row r="79" spans="1:20" s="83" customFormat="1">
      <c r="A79" s="87"/>
      <c r="B79" s="87"/>
      <c r="C79" s="87"/>
      <c r="D79" s="87"/>
      <c r="E79" s="87"/>
      <c r="F79" s="232"/>
      <c r="G79" s="87"/>
      <c r="H79" s="87"/>
      <c r="I79" s="238"/>
      <c r="J79" s="239"/>
      <c r="K79" s="189">
        <f t="shared" si="10"/>
        <v>0</v>
      </c>
      <c r="L79" s="91"/>
      <c r="M79" s="189">
        <f t="shared" si="11"/>
        <v>0</v>
      </c>
      <c r="N79" s="189">
        <f t="shared" si="12"/>
        <v>0</v>
      </c>
      <c r="O79" s="87"/>
      <c r="P79" s="87"/>
      <c r="Q79" s="235"/>
      <c r="R79" s="232"/>
      <c r="S79" s="228">
        <f t="shared" si="13"/>
        <v>0</v>
      </c>
      <c r="T79" s="228" t="e">
        <f>VLOOKUP(O79,Справочник!B:G,6,0)</f>
        <v>#N/A</v>
      </c>
    </row>
    <row r="80" spans="1:20" s="83" customFormat="1">
      <c r="A80" s="87"/>
      <c r="B80" s="87"/>
      <c r="C80" s="87"/>
      <c r="D80" s="87"/>
      <c r="E80" s="87"/>
      <c r="F80" s="232"/>
      <c r="G80" s="87"/>
      <c r="H80" s="87"/>
      <c r="I80" s="238"/>
      <c r="J80" s="239"/>
      <c r="K80" s="189">
        <f t="shared" si="10"/>
        <v>0</v>
      </c>
      <c r="L80" s="91"/>
      <c r="M80" s="189">
        <f t="shared" si="11"/>
        <v>0</v>
      </c>
      <c r="N80" s="189">
        <f t="shared" si="12"/>
        <v>0</v>
      </c>
      <c r="O80" s="87"/>
      <c r="P80" s="87"/>
      <c r="Q80" s="235"/>
      <c r="R80" s="232"/>
      <c r="S80" s="228">
        <f t="shared" si="13"/>
        <v>0</v>
      </c>
      <c r="T80" s="228" t="e">
        <f>VLOOKUP(O80,Справочник!B:G,6,0)</f>
        <v>#N/A</v>
      </c>
    </row>
    <row r="81" spans="1:20" s="83" customFormat="1">
      <c r="A81" s="87"/>
      <c r="B81" s="87"/>
      <c r="C81" s="87"/>
      <c r="D81" s="87"/>
      <c r="E81" s="87"/>
      <c r="F81" s="232"/>
      <c r="G81" s="87"/>
      <c r="H81" s="87"/>
      <c r="I81" s="238"/>
      <c r="J81" s="239"/>
      <c r="K81" s="189">
        <f t="shared" si="10"/>
        <v>0</v>
      </c>
      <c r="L81" s="91"/>
      <c r="M81" s="189">
        <f t="shared" si="11"/>
        <v>0</v>
      </c>
      <c r="N81" s="189">
        <f t="shared" si="12"/>
        <v>0</v>
      </c>
      <c r="O81" s="87"/>
      <c r="P81" s="87"/>
      <c r="Q81" s="235"/>
      <c r="R81" s="232"/>
      <c r="S81" s="228">
        <f t="shared" si="13"/>
        <v>0</v>
      </c>
      <c r="T81" s="228" t="e">
        <f>VLOOKUP(O81,Справочник!B:G,6,0)</f>
        <v>#N/A</v>
      </c>
    </row>
    <row r="82" spans="1:20" s="83" customFormat="1">
      <c r="A82" s="87"/>
      <c r="B82" s="87"/>
      <c r="C82" s="87"/>
      <c r="D82" s="87"/>
      <c r="E82" s="87"/>
      <c r="F82" s="232"/>
      <c r="G82" s="87"/>
      <c r="H82" s="87"/>
      <c r="I82" s="238"/>
      <c r="J82" s="239"/>
      <c r="K82" s="189">
        <f t="shared" si="10"/>
        <v>0</v>
      </c>
      <c r="L82" s="91"/>
      <c r="M82" s="189">
        <f t="shared" si="11"/>
        <v>0</v>
      </c>
      <c r="N82" s="189">
        <f t="shared" si="12"/>
        <v>0</v>
      </c>
      <c r="O82" s="87"/>
      <c r="P82" s="87"/>
      <c r="Q82" s="235"/>
      <c r="R82" s="232"/>
      <c r="S82" s="228">
        <f t="shared" si="13"/>
        <v>0</v>
      </c>
      <c r="T82" s="228" t="e">
        <f>VLOOKUP(O82,Справочник!B:G,6,0)</f>
        <v>#N/A</v>
      </c>
    </row>
    <row r="83" spans="1:20" s="83" customFormat="1">
      <c r="A83" s="87"/>
      <c r="B83" s="87"/>
      <c r="C83" s="87"/>
      <c r="D83" s="87"/>
      <c r="E83" s="87"/>
      <c r="F83" s="232"/>
      <c r="G83" s="87"/>
      <c r="H83" s="87"/>
      <c r="I83" s="238"/>
      <c r="J83" s="239"/>
      <c r="K83" s="189">
        <f t="shared" si="10"/>
        <v>0</v>
      </c>
      <c r="L83" s="91"/>
      <c r="M83" s="189">
        <f t="shared" si="11"/>
        <v>0</v>
      </c>
      <c r="N83" s="189">
        <f t="shared" si="12"/>
        <v>0</v>
      </c>
      <c r="O83" s="87"/>
      <c r="P83" s="87"/>
      <c r="Q83" s="235"/>
      <c r="R83" s="232"/>
      <c r="S83" s="228">
        <f t="shared" si="13"/>
        <v>0</v>
      </c>
      <c r="T83" s="228" t="e">
        <f>VLOOKUP(O83,Справочник!B:G,6,0)</f>
        <v>#N/A</v>
      </c>
    </row>
    <row r="84" spans="1:20" s="83" customFormat="1">
      <c r="A84" s="190" t="str">
        <f>"ПОДЫТОГ " &amp; O74 &amp; ":"</f>
        <v>ПОДЫТОГ :</v>
      </c>
      <c r="B84" s="236"/>
      <c r="C84" s="186"/>
      <c r="D84" s="186"/>
      <c r="E84" s="186"/>
      <c r="F84" s="186"/>
      <c r="G84" s="186"/>
      <c r="H84" s="186"/>
      <c r="I84" s="186"/>
      <c r="J84" s="240"/>
      <c r="K84" s="191">
        <f>SUM(K74:K83)</f>
        <v>0</v>
      </c>
      <c r="L84" s="241"/>
      <c r="M84" s="191">
        <f>SUM(M74:M83)</f>
        <v>0</v>
      </c>
      <c r="N84" s="191">
        <f>SUM(N74:N83)</f>
        <v>0</v>
      </c>
      <c r="O84" s="237"/>
      <c r="P84" s="236"/>
      <c r="Q84" s="242"/>
      <c r="R84" s="243"/>
    </row>
    <row r="85" spans="1:20" s="83" customFormat="1">
      <c r="A85" s="94" t="s">
        <v>13</v>
      </c>
      <c r="B85" s="95"/>
      <c r="C85" s="95"/>
      <c r="D85" s="95"/>
      <c r="E85" s="95"/>
      <c r="F85" s="95"/>
      <c r="G85" s="186"/>
      <c r="H85" s="186"/>
      <c r="I85" s="187"/>
      <c r="J85" s="188"/>
      <c r="K85" s="100">
        <f>SUM(K7:K84)/2</f>
        <v>0</v>
      </c>
      <c r="L85" s="145"/>
      <c r="M85" s="100">
        <f>SUM(M7:M84)/2</f>
        <v>0</v>
      </c>
      <c r="N85" s="100">
        <f>SUM(K85,M85)</f>
        <v>0</v>
      </c>
      <c r="O85" s="192"/>
      <c r="P85" s="193"/>
      <c r="Q85" s="194"/>
      <c r="R85" s="195"/>
    </row>
    <row r="86" spans="1:20" s="83" customFormat="1">
      <c r="A86" s="102" t="e">
        <f ca="1">CONCATENATE("Итого на сумму: "&amp;FirstLetter(CurText(ROUND(N85,2),'Форма ввода (консолид.ДС)'!C14)))</f>
        <v>#NAME?</v>
      </c>
      <c r="B86" s="140"/>
      <c r="C86" s="140"/>
      <c r="D86" s="140"/>
      <c r="E86" s="140"/>
      <c r="F86" s="140"/>
      <c r="G86" s="140"/>
      <c r="H86" s="140"/>
      <c r="I86" s="140"/>
      <c r="J86" s="140"/>
      <c r="K86" s="140"/>
      <c r="L86" s="140"/>
      <c r="M86" s="140"/>
      <c r="N86" s="140"/>
      <c r="O86" s="140"/>
      <c r="P86" s="140"/>
      <c r="Q86" s="229"/>
      <c r="R86" s="230"/>
    </row>
    <row r="87" spans="1:20" s="83" customFormat="1">
      <c r="A87" s="102" t="e">
        <f ca="1">CONCATENATE("в том числе НДС:  "&amp;FirstLetter(CurText(ROUND(M85,2),'Форма ввода (консолид.ДС)'!C14)))</f>
        <v>#NAME?</v>
      </c>
      <c r="B87" s="103"/>
      <c r="C87" s="104"/>
      <c r="D87" s="104"/>
      <c r="E87" s="104"/>
      <c r="F87" s="105"/>
      <c r="G87" s="106"/>
      <c r="H87" s="106"/>
      <c r="I87" s="106"/>
      <c r="J87" s="106"/>
      <c r="K87" s="106"/>
      <c r="L87" s="106"/>
      <c r="M87" s="106"/>
      <c r="N87" s="106"/>
      <c r="O87" s="106"/>
      <c r="P87" s="106"/>
      <c r="Q87" s="106"/>
      <c r="R87" s="231"/>
    </row>
    <row r="88" spans="1:20" ht="15.75" customHeight="1">
      <c r="A88" s="107"/>
      <c r="B88" s="328"/>
      <c r="C88" s="328"/>
      <c r="D88" s="328"/>
      <c r="E88" s="328"/>
      <c r="F88" s="328"/>
      <c r="G88" s="328"/>
      <c r="H88" s="328"/>
      <c r="I88" s="328"/>
      <c r="J88" s="328"/>
      <c r="K88" s="328"/>
      <c r="L88" s="328"/>
      <c r="M88" s="328"/>
      <c r="N88" s="328"/>
      <c r="O88" s="328"/>
      <c r="P88" s="328"/>
      <c r="Q88" s="328"/>
      <c r="R88" s="180"/>
    </row>
    <row r="89" spans="1:20" ht="30.75" customHeight="1">
      <c r="A89" s="196" t="s">
        <v>14</v>
      </c>
      <c r="B89" s="389" t="s">
        <v>15</v>
      </c>
      <c r="C89" s="389"/>
      <c r="D89" s="389"/>
      <c r="E89" s="389"/>
      <c r="F89" s="389"/>
      <c r="G89" s="389"/>
      <c r="H89" s="389"/>
      <c r="I89" s="389"/>
      <c r="J89" s="389"/>
      <c r="K89" s="389"/>
      <c r="L89" s="389"/>
      <c r="M89" s="389"/>
      <c r="N89" s="389"/>
      <c r="O89" s="389"/>
      <c r="P89" s="389"/>
      <c r="Q89" s="389"/>
      <c r="R89" s="389"/>
    </row>
    <row r="90" spans="1:20" ht="30.6">
      <c r="A90" s="158"/>
      <c r="B90" s="342" t="str">
        <f>IF('Форма ввода (консолид.ДС)'!C19="Доставка до склада Покупателя (Грузополучателя), расположенного по адресу, указанному  в п. 1",'Форма ввода (консолид.ДС)'!C19,CONCATENATE('Форма ввода (консолид.ДС)'!C19,"",'Форма ввода (консолид.ДС)'!C18,"."))</f>
        <v>Доставка до склада Покупателя (Грузополучателя), расположенного по адресу, указанному  в п. 1</v>
      </c>
      <c r="C90" s="342"/>
      <c r="D90" s="342"/>
      <c r="E90" s="342"/>
      <c r="F90" s="342"/>
      <c r="G90" s="342"/>
      <c r="H90" s="342"/>
      <c r="I90" s="342"/>
      <c r="J90" s="342"/>
      <c r="K90" s="342"/>
      <c r="L90" s="342"/>
      <c r="M90" s="342"/>
      <c r="N90" s="342"/>
      <c r="O90" s="342"/>
      <c r="P90" s="342"/>
      <c r="Q90" s="342"/>
      <c r="R90" s="342"/>
    </row>
    <row r="91" spans="1:20" ht="30.6">
      <c r="A91" s="196" t="s">
        <v>16</v>
      </c>
      <c r="B91" s="389" t="s">
        <v>17</v>
      </c>
      <c r="C91" s="389"/>
      <c r="D91" s="389"/>
      <c r="E91" s="389"/>
      <c r="F91" s="389"/>
      <c r="G91" s="389"/>
      <c r="H91" s="389"/>
      <c r="I91" s="389"/>
      <c r="J91" s="389"/>
      <c r="K91" s="389"/>
      <c r="L91" s="389"/>
      <c r="M91" s="389"/>
      <c r="N91" s="389"/>
      <c r="O91" s="389"/>
      <c r="P91" s="389"/>
      <c r="Q91" s="389"/>
      <c r="R91" s="389"/>
    </row>
    <row r="92" spans="1:20" ht="53.85" customHeight="1">
      <c r="A92" s="158"/>
      <c r="B92" s="318">
        <f>'Форма ввода (консолид.ДС)'!C20</f>
        <v>0</v>
      </c>
      <c r="C92" s="318"/>
      <c r="D92" s="318"/>
      <c r="E92" s="318"/>
      <c r="F92" s="318"/>
      <c r="G92" s="318"/>
      <c r="H92" s="318"/>
      <c r="I92" s="318"/>
      <c r="J92" s="318"/>
      <c r="K92" s="318"/>
      <c r="L92" s="318"/>
      <c r="M92" s="318"/>
      <c r="N92" s="318"/>
      <c r="O92" s="318"/>
      <c r="P92" s="318"/>
      <c r="Q92" s="318"/>
      <c r="R92" s="318"/>
    </row>
    <row r="93" spans="1:20" ht="30.6">
      <c r="A93" s="158" t="s">
        <v>18</v>
      </c>
      <c r="B93" s="389" t="s">
        <v>252</v>
      </c>
      <c r="C93" s="389"/>
      <c r="D93" s="389"/>
      <c r="E93" s="389"/>
      <c r="F93" s="389"/>
      <c r="G93" s="389"/>
      <c r="H93" s="389"/>
      <c r="I93" s="389"/>
      <c r="J93" s="389"/>
      <c r="K93" s="389"/>
      <c r="L93" s="389"/>
      <c r="M93" s="389"/>
      <c r="N93" s="389"/>
      <c r="O93" s="389"/>
      <c r="P93" s="389"/>
      <c r="Q93" s="389"/>
      <c r="R93" s="389"/>
    </row>
    <row r="94" spans="1:20" ht="30.6">
      <c r="A94" s="158" t="s">
        <v>20</v>
      </c>
      <c r="B94" s="389" t="s">
        <v>253</v>
      </c>
      <c r="C94" s="389"/>
      <c r="D94" s="389"/>
      <c r="E94" s="389"/>
      <c r="F94" s="389"/>
      <c r="G94" s="389"/>
      <c r="H94" s="389"/>
      <c r="I94" s="389"/>
      <c r="J94" s="389"/>
      <c r="K94" s="389"/>
      <c r="L94" s="389"/>
      <c r="M94" s="389"/>
      <c r="N94" s="389"/>
      <c r="O94" s="389"/>
      <c r="P94" s="389"/>
      <c r="Q94" s="389"/>
      <c r="R94" s="389"/>
    </row>
    <row r="95" spans="1:20" ht="30.6">
      <c r="A95" s="158" t="s">
        <v>22</v>
      </c>
      <c r="B95" s="389" t="s">
        <v>23</v>
      </c>
      <c r="C95" s="389"/>
      <c r="D95" s="389"/>
      <c r="E95" s="389"/>
      <c r="F95" s="389"/>
      <c r="G95" s="389"/>
      <c r="H95" s="389"/>
      <c r="I95" s="389"/>
      <c r="J95" s="389"/>
      <c r="K95" s="389"/>
      <c r="L95" s="389"/>
      <c r="M95" s="389"/>
      <c r="N95" s="389"/>
      <c r="O95" s="389"/>
      <c r="P95" s="389"/>
      <c r="Q95" s="389"/>
      <c r="R95" s="389"/>
    </row>
    <row r="96" spans="1:20" ht="30.75" customHeight="1">
      <c r="A96" s="161" t="s">
        <v>24</v>
      </c>
      <c r="B96" s="318" t="str">
        <f>IF('Форма ввода (консолид.ДС)'!C14="руб.","Оплата Товара производится в рублях.",CONCATENATE("Оплата Товара производится ",'Форма ввода (консолид.ДС)'!C32))</f>
        <v>Оплата Товара производится (Выпадающий список)</v>
      </c>
      <c r="C96" s="318"/>
      <c r="D96" s="318"/>
      <c r="E96" s="318"/>
      <c r="F96" s="318"/>
      <c r="G96" s="318"/>
      <c r="H96" s="318"/>
      <c r="I96" s="318"/>
      <c r="J96" s="318"/>
      <c r="K96" s="318"/>
      <c r="L96" s="318"/>
      <c r="M96" s="318"/>
      <c r="N96" s="318"/>
      <c r="O96" s="318"/>
      <c r="P96" s="318"/>
      <c r="Q96" s="318"/>
      <c r="R96" s="318"/>
    </row>
    <row r="97" spans="1:18" ht="203.25" customHeight="1">
      <c r="A97" s="161" t="s">
        <v>25</v>
      </c>
      <c r="B97" s="387" t="str">
        <f ca="1">IF(OR('Форма ввода (консолид.ДС)'!C40="(Выпадающий список)",'Форма ввода (консолид.ДС)'!C40=""),'Форма ввода (консолид.ДС)'!C34,'Форма ввода (консолид.ДС)'!C41)</f>
        <v>Выберите порядок оплаты</v>
      </c>
      <c r="C97" s="387"/>
      <c r="D97" s="387"/>
      <c r="E97" s="387"/>
      <c r="F97" s="387"/>
      <c r="G97" s="387"/>
      <c r="H97" s="387"/>
      <c r="I97" s="387"/>
      <c r="J97" s="387"/>
      <c r="K97" s="387"/>
      <c r="L97" s="387"/>
      <c r="M97" s="387"/>
      <c r="N97" s="387"/>
      <c r="O97" s="387"/>
      <c r="P97" s="387"/>
      <c r="Q97" s="387"/>
      <c r="R97" s="387"/>
    </row>
    <row r="98" spans="1:18" ht="36" customHeight="1">
      <c r="A98" s="158" t="s">
        <v>26</v>
      </c>
      <c r="B98" s="338" t="s">
        <v>27</v>
      </c>
      <c r="C98" s="338"/>
      <c r="D98" s="338"/>
      <c r="E98" s="338"/>
      <c r="F98" s="338"/>
      <c r="G98" s="338"/>
      <c r="H98" s="338"/>
      <c r="I98" s="338"/>
      <c r="J98" s="338"/>
      <c r="K98" s="338"/>
      <c r="L98" s="338"/>
      <c r="M98" s="338"/>
      <c r="N98" s="338"/>
      <c r="O98" s="338"/>
      <c r="P98" s="338"/>
      <c r="Q98" s="338"/>
      <c r="R98" s="338"/>
    </row>
    <row r="99" spans="1:18" ht="30.75" customHeight="1">
      <c r="A99" s="158"/>
      <c r="B99" s="388">
        <f>'Форма ввода (консолид.ДС)'!C49</f>
        <v>0</v>
      </c>
      <c r="C99" s="388"/>
      <c r="D99" s="388"/>
      <c r="E99" s="388"/>
      <c r="F99" s="388"/>
      <c r="G99" s="388"/>
      <c r="H99" s="388"/>
      <c r="I99" s="388"/>
      <c r="J99" s="388"/>
      <c r="K99" s="388"/>
      <c r="L99" s="388"/>
      <c r="M99" s="388"/>
      <c r="N99" s="388"/>
      <c r="O99" s="388"/>
      <c r="P99" s="388"/>
      <c r="Q99" s="388"/>
      <c r="R99" s="388"/>
    </row>
    <row r="100" spans="1:18" ht="30.2" customHeight="1">
      <c r="A100" s="158" t="s">
        <v>28</v>
      </c>
      <c r="B100" s="330" t="s">
        <v>29</v>
      </c>
      <c r="C100" s="330"/>
      <c r="D100" s="330"/>
      <c r="E100" s="330"/>
      <c r="F100" s="330"/>
      <c r="G100" s="330"/>
      <c r="H100" s="330"/>
      <c r="I100" s="330"/>
      <c r="J100" s="330"/>
      <c r="K100" s="330"/>
      <c r="L100" s="330"/>
      <c r="M100" s="330"/>
      <c r="N100" s="330"/>
      <c r="O100" s="330"/>
      <c r="P100" s="330"/>
      <c r="Q100" s="330"/>
      <c r="R100" s="330"/>
    </row>
    <row r="101" spans="1:18" ht="61.5" customHeight="1">
      <c r="A101" s="158"/>
      <c r="B101" s="327" t="str">
        <f>'Форма ввода (консолид.ДС)'!C53</f>
        <v>Срок годности поставляемого по настоящему Дополнительному соглашению Товара указывается в  и должен составлять не менее (Выпадающий список) с даты поставки Товара.</v>
      </c>
      <c r="C101" s="327"/>
      <c r="D101" s="327"/>
      <c r="E101" s="327"/>
      <c r="F101" s="327"/>
      <c r="G101" s="327"/>
      <c r="H101" s="327"/>
      <c r="I101" s="327"/>
      <c r="J101" s="327"/>
      <c r="K101" s="327"/>
      <c r="L101" s="327"/>
      <c r="M101" s="327"/>
      <c r="N101" s="327"/>
      <c r="O101" s="327"/>
      <c r="P101" s="327"/>
      <c r="Q101" s="327"/>
      <c r="R101" s="327"/>
    </row>
    <row r="102" spans="1:18" ht="30.6">
      <c r="A102" s="158" t="s">
        <v>30</v>
      </c>
      <c r="B102" s="329" t="s">
        <v>31</v>
      </c>
      <c r="C102" s="318"/>
      <c r="D102" s="318"/>
      <c r="E102" s="318"/>
      <c r="F102" s="318"/>
      <c r="G102" s="318"/>
      <c r="H102" s="318"/>
      <c r="I102" s="318"/>
      <c r="J102" s="318"/>
      <c r="K102" s="318"/>
      <c r="L102" s="318"/>
      <c r="M102" s="318"/>
      <c r="N102" s="318"/>
      <c r="O102" s="318"/>
      <c r="P102" s="318"/>
      <c r="Q102" s="318"/>
      <c r="R102" s="168"/>
    </row>
    <row r="103" spans="1:18" ht="60.75" customHeight="1">
      <c r="A103" s="158"/>
      <c r="B103" s="327" t="str">
        <f>'Форма ввода (консолид.ДС)'!C29</f>
        <v>Дата получения Товара Покупателем (Грузополучателем) на складе Покупателя (Грузополучателя) (п.2), указанная в Транспортном документе.</v>
      </c>
      <c r="C103" s="327"/>
      <c r="D103" s="327"/>
      <c r="E103" s="327"/>
      <c r="F103" s="327"/>
      <c r="G103" s="327"/>
      <c r="H103" s="327"/>
      <c r="I103" s="327"/>
      <c r="J103" s="327"/>
      <c r="K103" s="327"/>
      <c r="L103" s="327"/>
      <c r="M103" s="327"/>
      <c r="N103" s="327"/>
      <c r="O103" s="327"/>
      <c r="P103" s="327"/>
      <c r="Q103" s="327"/>
      <c r="R103" s="327"/>
    </row>
    <row r="104" spans="1:18" ht="61.5" customHeight="1">
      <c r="A104" s="158" t="s">
        <v>32</v>
      </c>
      <c r="B104" s="327" t="s">
        <v>33</v>
      </c>
      <c r="C104" s="327"/>
      <c r="D104" s="327"/>
      <c r="E104" s="327"/>
      <c r="F104" s="327"/>
      <c r="G104" s="327"/>
      <c r="H104" s="327"/>
      <c r="I104" s="327"/>
      <c r="J104" s="327"/>
      <c r="K104" s="327"/>
      <c r="L104" s="327"/>
      <c r="M104" s="327"/>
      <c r="N104" s="327"/>
      <c r="O104" s="327"/>
      <c r="P104" s="327"/>
      <c r="Q104" s="327"/>
      <c r="R104" s="327"/>
    </row>
    <row r="105" spans="1:18" ht="30.6">
      <c r="A105" s="162" t="s">
        <v>34</v>
      </c>
      <c r="B105" s="327" t="str">
        <f>CONCATENATE("со стороны Поставщика: ",'Форма ввода (консолид.ДС)'!C15)</f>
        <v xml:space="preserve">со стороны Поставщика: </v>
      </c>
      <c r="C105" s="327"/>
      <c r="D105" s="327"/>
      <c r="E105" s="327"/>
      <c r="F105" s="327"/>
      <c r="G105" s="327"/>
      <c r="H105" s="327"/>
      <c r="I105" s="327"/>
      <c r="J105" s="327"/>
      <c r="K105" s="327"/>
      <c r="L105" s="327"/>
      <c r="M105" s="327"/>
      <c r="N105" s="327"/>
      <c r="O105" s="327"/>
      <c r="P105" s="327"/>
      <c r="Q105" s="327"/>
      <c r="R105" s="327"/>
    </row>
    <row r="106" spans="1:18" ht="30.6">
      <c r="A106" s="162" t="s">
        <v>34</v>
      </c>
      <c r="B106" s="327" t="str">
        <f>CONCATENATE("со стороны Покупателя: ",'Форма ввода (консолид.ДС)'!C16)</f>
        <v xml:space="preserve">со стороны Покупателя: </v>
      </c>
      <c r="C106" s="327"/>
      <c r="D106" s="327"/>
      <c r="E106" s="327"/>
      <c r="F106" s="327"/>
      <c r="G106" s="327"/>
      <c r="H106" s="327"/>
      <c r="I106" s="327"/>
      <c r="J106" s="327"/>
      <c r="K106" s="327"/>
      <c r="L106" s="327"/>
      <c r="M106" s="327"/>
      <c r="N106" s="327"/>
      <c r="O106" s="327"/>
      <c r="P106" s="327"/>
      <c r="Q106" s="327"/>
      <c r="R106" s="327"/>
    </row>
    <row r="107" spans="1:18" ht="177" customHeight="1">
      <c r="A107" s="158" t="s">
        <v>35</v>
      </c>
      <c r="B107" s="327" t="str">
        <f>IF('Форма ввода (консолид.ДС)'!C55="нет","Скройте п.11",IF('Форма ввода (консолид.ДС)'!C55="нет","В случае поставки Товара по истечении срока, указанного в п.5 настоящего дополнительного соглашения, Покупатель вправе принять Товар."&amp;" ",
"При поставке Товара в Срок, установленный в п.5 настоящего дополнительного соглашения, цена на Товар устанавливается в размере согласно п.1 настоящего дополнительного соглашения."&amp;"
В случае поставки Товара по истечении срока, указанного в п.5 настоящего дополнительного соглашения, Покупатель вправе по своему усмотрению  принять Товар,"&amp;" на условиях установленных в  п.12 настоящего дополнительного соглашения."&amp;"
Поставщик обязан сообщить Покупателю и грузополучателю за 3 (три) рабочих дня до даты отгрузки Товара (по факсимильной связи, электронной почте) наименование, количество отгружаемого Товара и дату отгрузки."))</f>
        <v>При поставке Товара в Срок, установленный в п.5 настоящего дополнительного соглашения, цена на Товар устанавливается в размере согласно п.1 настоящего дополнительного соглашения.
В случае поставки Товара по истечении срока, указанного в п.5 настоящего дополнительного соглашения, Покупатель вправе по своему усмотрению  принять Товар, на условиях установленных в  п.12 настоящего дополнительного соглашения.
Поставщик обязан сообщить Покупателю и грузополучателю за 3 (три) рабочих дня до даты отгрузки Товара (по факсимильной связи, электронной почте) наименование, количество отгружаемого Товара и дату отгрузки.</v>
      </c>
      <c r="C107" s="327"/>
      <c r="D107" s="327"/>
      <c r="E107" s="327"/>
      <c r="F107" s="327"/>
      <c r="G107" s="327"/>
      <c r="H107" s="327"/>
      <c r="I107" s="327"/>
      <c r="J107" s="327"/>
      <c r="K107" s="327"/>
      <c r="L107" s="327"/>
      <c r="M107" s="327"/>
      <c r="N107" s="327"/>
      <c r="O107" s="327"/>
      <c r="P107" s="327"/>
      <c r="Q107" s="327"/>
      <c r="R107" s="327"/>
    </row>
    <row r="108" spans="1:18" ht="66.2" customHeight="1">
      <c r="A108" s="163" t="s">
        <v>36</v>
      </c>
      <c r="B108" s="327" t="str">
        <f>IF('Форма ввода (консолид.ДС)'!C55="нет","Скройте пункт 12, 12.1, 12.2, 12.3.","В случае, если Покупатель принял решение принять Товар, поставленный по истечении срока, установленного в п.5 настоящего дополнительного соглашения, то цена Товара, поставленного по истечении указанного срока поставки, устанавливается в размере:")</f>
        <v>В случае, если Покупатель принял решение принять Товар, поставленный по истечении срока, установленного в п.5 настоящего дополнительного соглашения, то цена Товара, поставленного по истечении указанного срока поставки, устанавливается в размере:</v>
      </c>
      <c r="C108" s="327"/>
      <c r="D108" s="327"/>
      <c r="E108" s="327"/>
      <c r="F108" s="327"/>
      <c r="G108" s="327"/>
      <c r="H108" s="327"/>
      <c r="I108" s="327"/>
      <c r="J108" s="327"/>
      <c r="K108" s="327"/>
      <c r="L108" s="327"/>
      <c r="M108" s="327"/>
      <c r="N108" s="327"/>
      <c r="O108" s="327"/>
      <c r="P108" s="327"/>
      <c r="Q108" s="327"/>
      <c r="R108" s="327"/>
    </row>
    <row r="109" spans="1:18" s="80" customFormat="1" ht="77.25" customHeight="1">
      <c r="A109" s="163" t="s">
        <v>37</v>
      </c>
      <c r="B109" s="330" t="s">
        <v>38</v>
      </c>
      <c r="C109" s="330"/>
      <c r="D109" s="330"/>
      <c r="E109" s="330"/>
      <c r="F109" s="330"/>
      <c r="G109" s="330"/>
      <c r="H109" s="330"/>
      <c r="I109" s="330"/>
      <c r="J109" s="330"/>
      <c r="K109" s="330"/>
      <c r="L109" s="330"/>
      <c r="M109" s="330"/>
      <c r="N109" s="330"/>
      <c r="O109" s="330"/>
      <c r="P109" s="330"/>
      <c r="Q109" s="330"/>
      <c r="R109" s="330"/>
    </row>
    <row r="110" spans="1:18" s="83" customFormat="1" ht="101.25" customHeight="1">
      <c r="A110" s="132" t="str">
        <f t="shared" ref="A110:O110" si="14">A7</f>
        <v>№ п/п</v>
      </c>
      <c r="B110" s="132" t="str">
        <f t="shared" si="14"/>
        <v>Наименование Товара Поставщика</v>
      </c>
      <c r="C110" s="132" t="str">
        <f t="shared" si="14"/>
        <v>ГОСТ, ТУ,CAS</v>
      </c>
      <c r="D110" s="132" t="str">
        <f t="shared" si="14"/>
        <v>Наименование Товара для отражения в учетных системах Покупателя</v>
      </c>
      <c r="E110" s="132" t="str">
        <f t="shared" si="14"/>
        <v>Код АСВ НСИ</v>
      </c>
      <c r="F110" s="132" t="str">
        <f t="shared" si="14"/>
        <v>Ед. изм.</v>
      </c>
      <c r="G110" s="132" t="str">
        <f t="shared" si="14"/>
        <v>Производитель</v>
      </c>
      <c r="H110" s="132" t="str">
        <f t="shared" si="14"/>
        <v>Страна происхождения</v>
      </c>
      <c r="I110" s="132" t="str">
        <f t="shared" si="14"/>
        <v>Кол-во</v>
      </c>
      <c r="J110" s="132" t="str">
        <f t="shared" si="14"/>
        <v>Цена за единицу измерения без НДС, (Выпадающий список)</v>
      </c>
      <c r="K110" s="132" t="str">
        <f t="shared" si="14"/>
        <v>Стоимость без учета НДС, (Выпадающий список)</v>
      </c>
      <c r="L110" s="132" t="str">
        <f t="shared" si="14"/>
        <v>Ставка НДС,%</v>
      </c>
      <c r="M110" s="132" t="str">
        <f t="shared" si="14"/>
        <v>Сумма НДС (Выпадающий список)</v>
      </c>
      <c r="N110" s="132" t="str">
        <f t="shared" si="14"/>
        <v>Стоимость с учетом НДС, (Выпадающий список)</v>
      </c>
      <c r="O110" s="132" t="str">
        <f t="shared" si="14"/>
        <v>Покупатель</v>
      </c>
      <c r="P110" s="108"/>
      <c r="Q110" s="109"/>
      <c r="R110" s="109"/>
    </row>
    <row r="111" spans="1:18" s="83" customFormat="1">
      <c r="A111" s="244">
        <f t="shared" ref="A111:I111" si="15">A8</f>
        <v>0</v>
      </c>
      <c r="B111" s="87">
        <f t="shared" si="15"/>
        <v>0</v>
      </c>
      <c r="C111" s="87">
        <f t="shared" si="15"/>
        <v>0</v>
      </c>
      <c r="D111" s="87">
        <f t="shared" si="15"/>
        <v>0</v>
      </c>
      <c r="E111" s="87">
        <f t="shared" si="15"/>
        <v>0</v>
      </c>
      <c r="F111" s="87">
        <f t="shared" si="15"/>
        <v>0</v>
      </c>
      <c r="G111" s="87">
        <f t="shared" si="15"/>
        <v>0</v>
      </c>
      <c r="H111" s="87">
        <f t="shared" si="15"/>
        <v>0</v>
      </c>
      <c r="I111" s="87">
        <f t="shared" si="15"/>
        <v>0</v>
      </c>
      <c r="J111" s="89">
        <f>J8*(1-'Форма ввода (консолид.ДС)'!$C$56)</f>
        <v>0</v>
      </c>
      <c r="K111" s="189">
        <f>ROUND(I111*J111,2)</f>
        <v>0</v>
      </c>
      <c r="L111" s="233">
        <f t="shared" ref="L111:L120" si="16">L8</f>
        <v>0</v>
      </c>
      <c r="M111" s="189">
        <f>IF(L111="Без НДС",0,ROUND(K111*L111,2))</f>
        <v>0</v>
      </c>
      <c r="N111" s="189">
        <f>M111+K111</f>
        <v>0</v>
      </c>
      <c r="O111" s="245">
        <f t="shared" ref="O111:O120" si="17">O8</f>
        <v>0</v>
      </c>
      <c r="P111" s="115"/>
      <c r="Q111" s="116"/>
      <c r="R111" s="116"/>
    </row>
    <row r="112" spans="1:18" s="83" customFormat="1">
      <c r="A112" s="244">
        <f t="shared" ref="A112:I112" si="18">A9</f>
        <v>0</v>
      </c>
      <c r="B112" s="87">
        <f t="shared" si="18"/>
        <v>0</v>
      </c>
      <c r="C112" s="87">
        <f t="shared" si="18"/>
        <v>0</v>
      </c>
      <c r="D112" s="87">
        <f t="shared" si="18"/>
        <v>0</v>
      </c>
      <c r="E112" s="87">
        <f t="shared" si="18"/>
        <v>0</v>
      </c>
      <c r="F112" s="87">
        <f t="shared" si="18"/>
        <v>0</v>
      </c>
      <c r="G112" s="87">
        <f t="shared" si="18"/>
        <v>0</v>
      </c>
      <c r="H112" s="87">
        <f t="shared" si="18"/>
        <v>0</v>
      </c>
      <c r="I112" s="87">
        <f t="shared" si="18"/>
        <v>0</v>
      </c>
      <c r="J112" s="89">
        <f>J9*(1-'Форма ввода (консолид.ДС)'!$C$56)</f>
        <v>0</v>
      </c>
      <c r="K112" s="189">
        <f t="shared" ref="K112:K175" si="19">ROUND(I112*J112,2)</f>
        <v>0</v>
      </c>
      <c r="L112" s="233">
        <f t="shared" si="16"/>
        <v>0</v>
      </c>
      <c r="M112" s="189">
        <f t="shared" ref="M112:M175" si="20">IF(L112="Без НДС",0,ROUND(K112*L112,2))</f>
        <v>0</v>
      </c>
      <c r="N112" s="189">
        <f t="shared" ref="N112:N175" si="21">M112+K112</f>
        <v>0</v>
      </c>
      <c r="O112" s="245">
        <f t="shared" si="17"/>
        <v>0</v>
      </c>
      <c r="P112" s="115"/>
      <c r="Q112" s="116"/>
      <c r="R112" s="116"/>
    </row>
    <row r="113" spans="1:18" s="83" customFormat="1">
      <c r="A113" s="244">
        <f t="shared" ref="A113:I113" si="22">A10</f>
        <v>0</v>
      </c>
      <c r="B113" s="87">
        <f t="shared" si="22"/>
        <v>0</v>
      </c>
      <c r="C113" s="87">
        <f t="shared" si="22"/>
        <v>0</v>
      </c>
      <c r="D113" s="87">
        <f t="shared" si="22"/>
        <v>0</v>
      </c>
      <c r="E113" s="87">
        <f t="shared" si="22"/>
        <v>0</v>
      </c>
      <c r="F113" s="87">
        <f t="shared" si="22"/>
        <v>0</v>
      </c>
      <c r="G113" s="87">
        <f t="shared" si="22"/>
        <v>0</v>
      </c>
      <c r="H113" s="87">
        <f t="shared" si="22"/>
        <v>0</v>
      </c>
      <c r="I113" s="87">
        <f t="shared" si="22"/>
        <v>0</v>
      </c>
      <c r="J113" s="89">
        <f>J10*(1-'Форма ввода (консолид.ДС)'!$C$56)</f>
        <v>0</v>
      </c>
      <c r="K113" s="189">
        <f t="shared" si="19"/>
        <v>0</v>
      </c>
      <c r="L113" s="233">
        <f t="shared" si="16"/>
        <v>0</v>
      </c>
      <c r="M113" s="189">
        <f t="shared" si="20"/>
        <v>0</v>
      </c>
      <c r="N113" s="189">
        <f t="shared" si="21"/>
        <v>0</v>
      </c>
      <c r="O113" s="245">
        <f t="shared" si="17"/>
        <v>0</v>
      </c>
      <c r="P113" s="115"/>
      <c r="Q113" s="116"/>
      <c r="R113" s="116"/>
    </row>
    <row r="114" spans="1:18" s="83" customFormat="1">
      <c r="A114" s="244">
        <f t="shared" ref="A114:I114" si="23">A11</f>
        <v>0</v>
      </c>
      <c r="B114" s="87">
        <f t="shared" si="23"/>
        <v>0</v>
      </c>
      <c r="C114" s="87">
        <f t="shared" si="23"/>
        <v>0</v>
      </c>
      <c r="D114" s="87">
        <f t="shared" si="23"/>
        <v>0</v>
      </c>
      <c r="E114" s="87">
        <f t="shared" si="23"/>
        <v>0</v>
      </c>
      <c r="F114" s="87">
        <f t="shared" si="23"/>
        <v>0</v>
      </c>
      <c r="G114" s="87">
        <f t="shared" si="23"/>
        <v>0</v>
      </c>
      <c r="H114" s="87">
        <f t="shared" si="23"/>
        <v>0</v>
      </c>
      <c r="I114" s="87">
        <f t="shared" si="23"/>
        <v>0</v>
      </c>
      <c r="J114" s="89">
        <f>J11*(1-'Форма ввода (консолид.ДС)'!$C$56)</f>
        <v>0</v>
      </c>
      <c r="K114" s="189">
        <f t="shared" si="19"/>
        <v>0</v>
      </c>
      <c r="L114" s="233">
        <f t="shared" si="16"/>
        <v>0</v>
      </c>
      <c r="M114" s="189">
        <f t="shared" si="20"/>
        <v>0</v>
      </c>
      <c r="N114" s="189">
        <f t="shared" si="21"/>
        <v>0</v>
      </c>
      <c r="O114" s="245">
        <f t="shared" si="17"/>
        <v>0</v>
      </c>
      <c r="P114" s="115"/>
      <c r="Q114" s="116"/>
      <c r="R114" s="116"/>
    </row>
    <row r="115" spans="1:18" s="83" customFormat="1">
      <c r="A115" s="244">
        <f t="shared" ref="A115:I115" si="24">A12</f>
        <v>0</v>
      </c>
      <c r="B115" s="87">
        <f t="shared" si="24"/>
        <v>0</v>
      </c>
      <c r="C115" s="87">
        <f t="shared" si="24"/>
        <v>0</v>
      </c>
      <c r="D115" s="87">
        <f t="shared" si="24"/>
        <v>0</v>
      </c>
      <c r="E115" s="87">
        <f t="shared" si="24"/>
        <v>0</v>
      </c>
      <c r="F115" s="87">
        <f t="shared" si="24"/>
        <v>0</v>
      </c>
      <c r="G115" s="87">
        <f t="shared" si="24"/>
        <v>0</v>
      </c>
      <c r="H115" s="87">
        <f t="shared" si="24"/>
        <v>0</v>
      </c>
      <c r="I115" s="87">
        <f t="shared" si="24"/>
        <v>0</v>
      </c>
      <c r="J115" s="89">
        <f>J12*(1-'Форма ввода (консолид.ДС)'!$C$56)</f>
        <v>0</v>
      </c>
      <c r="K115" s="189">
        <f t="shared" si="19"/>
        <v>0</v>
      </c>
      <c r="L115" s="233">
        <f t="shared" si="16"/>
        <v>0</v>
      </c>
      <c r="M115" s="189">
        <f t="shared" si="20"/>
        <v>0</v>
      </c>
      <c r="N115" s="189">
        <f t="shared" si="21"/>
        <v>0</v>
      </c>
      <c r="O115" s="245">
        <f t="shared" si="17"/>
        <v>0</v>
      </c>
      <c r="P115" s="115"/>
      <c r="Q115" s="116"/>
      <c r="R115" s="116"/>
    </row>
    <row r="116" spans="1:18" s="83" customFormat="1">
      <c r="A116" s="244">
        <f t="shared" ref="A116:I116" si="25">A13</f>
        <v>0</v>
      </c>
      <c r="B116" s="87">
        <f t="shared" si="25"/>
        <v>0</v>
      </c>
      <c r="C116" s="87">
        <f t="shared" si="25"/>
        <v>0</v>
      </c>
      <c r="D116" s="87">
        <f t="shared" si="25"/>
        <v>0</v>
      </c>
      <c r="E116" s="87">
        <f t="shared" si="25"/>
        <v>0</v>
      </c>
      <c r="F116" s="87">
        <f t="shared" si="25"/>
        <v>0</v>
      </c>
      <c r="G116" s="87">
        <f t="shared" si="25"/>
        <v>0</v>
      </c>
      <c r="H116" s="87">
        <f t="shared" si="25"/>
        <v>0</v>
      </c>
      <c r="I116" s="87">
        <f t="shared" si="25"/>
        <v>0</v>
      </c>
      <c r="J116" s="89">
        <f>J13*(1-'Форма ввода (консолид.ДС)'!$C$56)</f>
        <v>0</v>
      </c>
      <c r="K116" s="189">
        <f t="shared" si="19"/>
        <v>0</v>
      </c>
      <c r="L116" s="233">
        <f t="shared" si="16"/>
        <v>0</v>
      </c>
      <c r="M116" s="189">
        <f t="shared" si="20"/>
        <v>0</v>
      </c>
      <c r="N116" s="189">
        <f t="shared" si="21"/>
        <v>0</v>
      </c>
      <c r="O116" s="245">
        <f t="shared" si="17"/>
        <v>0</v>
      </c>
      <c r="P116" s="115"/>
      <c r="Q116" s="116"/>
      <c r="R116" s="116"/>
    </row>
    <row r="117" spans="1:18" s="83" customFormat="1">
      <c r="A117" s="244">
        <f t="shared" ref="A117:I117" si="26">A14</f>
        <v>0</v>
      </c>
      <c r="B117" s="87">
        <f t="shared" si="26"/>
        <v>0</v>
      </c>
      <c r="C117" s="87">
        <f t="shared" si="26"/>
        <v>0</v>
      </c>
      <c r="D117" s="87">
        <f t="shared" si="26"/>
        <v>0</v>
      </c>
      <c r="E117" s="87">
        <f t="shared" si="26"/>
        <v>0</v>
      </c>
      <c r="F117" s="87">
        <f t="shared" si="26"/>
        <v>0</v>
      </c>
      <c r="G117" s="87">
        <f t="shared" si="26"/>
        <v>0</v>
      </c>
      <c r="H117" s="87">
        <f t="shared" si="26"/>
        <v>0</v>
      </c>
      <c r="I117" s="87">
        <f t="shared" si="26"/>
        <v>0</v>
      </c>
      <c r="J117" s="89">
        <f>J14*(1-'Форма ввода (консолид.ДС)'!$C$56)</f>
        <v>0</v>
      </c>
      <c r="K117" s="189">
        <f t="shared" si="19"/>
        <v>0</v>
      </c>
      <c r="L117" s="233">
        <f t="shared" si="16"/>
        <v>0</v>
      </c>
      <c r="M117" s="189">
        <f t="shared" si="20"/>
        <v>0</v>
      </c>
      <c r="N117" s="189">
        <f t="shared" si="21"/>
        <v>0</v>
      </c>
      <c r="O117" s="245">
        <f t="shared" si="17"/>
        <v>0</v>
      </c>
      <c r="P117" s="115"/>
      <c r="Q117" s="116"/>
      <c r="R117" s="116"/>
    </row>
    <row r="118" spans="1:18" s="83" customFormat="1">
      <c r="A118" s="244">
        <f t="shared" ref="A118:I118" si="27">A15</f>
        <v>0</v>
      </c>
      <c r="B118" s="87">
        <f t="shared" si="27"/>
        <v>0</v>
      </c>
      <c r="C118" s="87">
        <f t="shared" si="27"/>
        <v>0</v>
      </c>
      <c r="D118" s="87">
        <f t="shared" si="27"/>
        <v>0</v>
      </c>
      <c r="E118" s="87">
        <f t="shared" si="27"/>
        <v>0</v>
      </c>
      <c r="F118" s="87">
        <f t="shared" si="27"/>
        <v>0</v>
      </c>
      <c r="G118" s="87">
        <f t="shared" si="27"/>
        <v>0</v>
      </c>
      <c r="H118" s="87">
        <f t="shared" si="27"/>
        <v>0</v>
      </c>
      <c r="I118" s="87">
        <f t="shared" si="27"/>
        <v>0</v>
      </c>
      <c r="J118" s="89">
        <f>J15*(1-'Форма ввода (консолид.ДС)'!$C$56)</f>
        <v>0</v>
      </c>
      <c r="K118" s="189">
        <f t="shared" si="19"/>
        <v>0</v>
      </c>
      <c r="L118" s="233">
        <f t="shared" si="16"/>
        <v>0</v>
      </c>
      <c r="M118" s="189">
        <f t="shared" si="20"/>
        <v>0</v>
      </c>
      <c r="N118" s="189">
        <f t="shared" si="21"/>
        <v>0</v>
      </c>
      <c r="O118" s="245">
        <f t="shared" si="17"/>
        <v>0</v>
      </c>
      <c r="P118" s="115"/>
      <c r="Q118" s="116"/>
      <c r="R118" s="116"/>
    </row>
    <row r="119" spans="1:18" s="83" customFormat="1">
      <c r="A119" s="244">
        <f t="shared" ref="A119:I119" si="28">A16</f>
        <v>0</v>
      </c>
      <c r="B119" s="87">
        <f t="shared" si="28"/>
        <v>0</v>
      </c>
      <c r="C119" s="87">
        <f t="shared" si="28"/>
        <v>0</v>
      </c>
      <c r="D119" s="87">
        <f t="shared" si="28"/>
        <v>0</v>
      </c>
      <c r="E119" s="87">
        <f t="shared" si="28"/>
        <v>0</v>
      </c>
      <c r="F119" s="87">
        <f t="shared" si="28"/>
        <v>0</v>
      </c>
      <c r="G119" s="87">
        <f t="shared" si="28"/>
        <v>0</v>
      </c>
      <c r="H119" s="87">
        <f t="shared" si="28"/>
        <v>0</v>
      </c>
      <c r="I119" s="87">
        <f t="shared" si="28"/>
        <v>0</v>
      </c>
      <c r="J119" s="89">
        <f>J16*(1-'Форма ввода (консолид.ДС)'!$C$56)</f>
        <v>0</v>
      </c>
      <c r="K119" s="189">
        <f t="shared" si="19"/>
        <v>0</v>
      </c>
      <c r="L119" s="233">
        <f t="shared" si="16"/>
        <v>0</v>
      </c>
      <c r="M119" s="189">
        <f t="shared" si="20"/>
        <v>0</v>
      </c>
      <c r="N119" s="189">
        <f t="shared" si="21"/>
        <v>0</v>
      </c>
      <c r="O119" s="245">
        <f t="shared" si="17"/>
        <v>0</v>
      </c>
      <c r="P119" s="115"/>
      <c r="Q119" s="116"/>
      <c r="R119" s="116"/>
    </row>
    <row r="120" spans="1:18" s="83" customFormat="1">
      <c r="A120" s="244">
        <f t="shared" ref="A120:I120" si="29">A17</f>
        <v>0</v>
      </c>
      <c r="B120" s="87">
        <f t="shared" si="29"/>
        <v>0</v>
      </c>
      <c r="C120" s="87">
        <f t="shared" si="29"/>
        <v>0</v>
      </c>
      <c r="D120" s="87">
        <f t="shared" si="29"/>
        <v>0</v>
      </c>
      <c r="E120" s="87">
        <f t="shared" si="29"/>
        <v>0</v>
      </c>
      <c r="F120" s="87">
        <f t="shared" si="29"/>
        <v>0</v>
      </c>
      <c r="G120" s="87">
        <f t="shared" si="29"/>
        <v>0</v>
      </c>
      <c r="H120" s="87">
        <f t="shared" si="29"/>
        <v>0</v>
      </c>
      <c r="I120" s="87">
        <f t="shared" si="29"/>
        <v>0</v>
      </c>
      <c r="J120" s="89">
        <f>J17*(1-'Форма ввода (консолид.ДС)'!$C$56)</f>
        <v>0</v>
      </c>
      <c r="K120" s="189">
        <f t="shared" si="19"/>
        <v>0</v>
      </c>
      <c r="L120" s="233">
        <f t="shared" si="16"/>
        <v>0</v>
      </c>
      <c r="M120" s="189">
        <f t="shared" si="20"/>
        <v>0</v>
      </c>
      <c r="N120" s="189">
        <f t="shared" si="21"/>
        <v>0</v>
      </c>
      <c r="O120" s="245">
        <f t="shared" si="17"/>
        <v>0</v>
      </c>
      <c r="P120" s="115"/>
      <c r="Q120" s="116"/>
      <c r="R120" s="116"/>
    </row>
    <row r="121" spans="1:18" s="83" customFormat="1">
      <c r="A121" s="190" t="str">
        <f t="shared" ref="A121:I175" si="30">A18</f>
        <v>ПОДЫТОГ :</v>
      </c>
      <c r="B121" s="236"/>
      <c r="C121" s="236"/>
      <c r="D121" s="236"/>
      <c r="E121" s="236"/>
      <c r="F121" s="236"/>
      <c r="G121" s="236"/>
      <c r="H121" s="236"/>
      <c r="I121" s="236"/>
      <c r="J121" s="246"/>
      <c r="K121" s="191">
        <f>SUM(K111:K120)</f>
        <v>0</v>
      </c>
      <c r="L121" s="247"/>
      <c r="M121" s="191">
        <f>SUM(M111:M120)</f>
        <v>0</v>
      </c>
      <c r="N121" s="191">
        <f>SUM(N111:N120)</f>
        <v>0</v>
      </c>
      <c r="O121" s="248"/>
      <c r="P121" s="115"/>
      <c r="Q121" s="116"/>
      <c r="R121" s="116"/>
    </row>
    <row r="122" spans="1:18" s="83" customFormat="1">
      <c r="A122" s="244">
        <f t="shared" si="30"/>
        <v>0</v>
      </c>
      <c r="B122" s="87">
        <f t="shared" si="30"/>
        <v>0</v>
      </c>
      <c r="C122" s="87">
        <f t="shared" si="30"/>
        <v>0</v>
      </c>
      <c r="D122" s="87">
        <f t="shared" si="30"/>
        <v>0</v>
      </c>
      <c r="E122" s="87">
        <f t="shared" si="30"/>
        <v>0</v>
      </c>
      <c r="F122" s="87">
        <f t="shared" si="30"/>
        <v>0</v>
      </c>
      <c r="G122" s="87">
        <f t="shared" si="30"/>
        <v>0</v>
      </c>
      <c r="H122" s="87">
        <f t="shared" si="30"/>
        <v>0</v>
      </c>
      <c r="I122" s="87">
        <f t="shared" si="30"/>
        <v>0</v>
      </c>
      <c r="J122" s="89">
        <f>J19*(1-'Форма ввода (консолид.ДС)'!$C$56)</f>
        <v>0</v>
      </c>
      <c r="K122" s="189">
        <f t="shared" si="19"/>
        <v>0</v>
      </c>
      <c r="L122" s="233">
        <f t="shared" ref="L122:L175" si="31">L19</f>
        <v>0</v>
      </c>
      <c r="M122" s="189">
        <f t="shared" si="20"/>
        <v>0</v>
      </c>
      <c r="N122" s="189">
        <f t="shared" si="21"/>
        <v>0</v>
      </c>
      <c r="O122" s="245">
        <f t="shared" ref="O122:O175" si="32">O19</f>
        <v>0</v>
      </c>
      <c r="P122" s="115"/>
      <c r="Q122" s="116"/>
      <c r="R122" s="116"/>
    </row>
    <row r="123" spans="1:18" s="83" customFormat="1">
      <c r="A123" s="244">
        <f t="shared" si="30"/>
        <v>0</v>
      </c>
      <c r="B123" s="87">
        <f t="shared" si="30"/>
        <v>0</v>
      </c>
      <c r="C123" s="87">
        <f t="shared" si="30"/>
        <v>0</v>
      </c>
      <c r="D123" s="87">
        <f t="shared" si="30"/>
        <v>0</v>
      </c>
      <c r="E123" s="87">
        <f t="shared" si="30"/>
        <v>0</v>
      </c>
      <c r="F123" s="87">
        <f t="shared" si="30"/>
        <v>0</v>
      </c>
      <c r="G123" s="87">
        <f t="shared" si="30"/>
        <v>0</v>
      </c>
      <c r="H123" s="87">
        <f t="shared" si="30"/>
        <v>0</v>
      </c>
      <c r="I123" s="87">
        <f t="shared" si="30"/>
        <v>0</v>
      </c>
      <c r="J123" s="89">
        <f>J20*(1-'Форма ввода (консолид.ДС)'!$C$56)</f>
        <v>0</v>
      </c>
      <c r="K123" s="189">
        <f t="shared" si="19"/>
        <v>0</v>
      </c>
      <c r="L123" s="233">
        <f t="shared" si="31"/>
        <v>0</v>
      </c>
      <c r="M123" s="189">
        <f t="shared" si="20"/>
        <v>0</v>
      </c>
      <c r="N123" s="189">
        <f t="shared" si="21"/>
        <v>0</v>
      </c>
      <c r="O123" s="245">
        <f t="shared" si="32"/>
        <v>0</v>
      </c>
      <c r="P123" s="115"/>
      <c r="Q123" s="116"/>
      <c r="R123" s="116"/>
    </row>
    <row r="124" spans="1:18" s="83" customFormat="1">
      <c r="A124" s="244">
        <f t="shared" si="30"/>
        <v>0</v>
      </c>
      <c r="B124" s="87">
        <f t="shared" si="30"/>
        <v>0</v>
      </c>
      <c r="C124" s="87">
        <f t="shared" si="30"/>
        <v>0</v>
      </c>
      <c r="D124" s="87">
        <f t="shared" si="30"/>
        <v>0</v>
      </c>
      <c r="E124" s="87">
        <f t="shared" si="30"/>
        <v>0</v>
      </c>
      <c r="F124" s="87">
        <f t="shared" si="30"/>
        <v>0</v>
      </c>
      <c r="G124" s="87">
        <f t="shared" si="30"/>
        <v>0</v>
      </c>
      <c r="H124" s="87">
        <f t="shared" si="30"/>
        <v>0</v>
      </c>
      <c r="I124" s="87">
        <f t="shared" si="30"/>
        <v>0</v>
      </c>
      <c r="J124" s="89">
        <f>J21*(1-'Форма ввода (консолид.ДС)'!$C$56)</f>
        <v>0</v>
      </c>
      <c r="K124" s="189">
        <f t="shared" si="19"/>
        <v>0</v>
      </c>
      <c r="L124" s="233">
        <f t="shared" si="31"/>
        <v>0</v>
      </c>
      <c r="M124" s="189">
        <f t="shared" si="20"/>
        <v>0</v>
      </c>
      <c r="N124" s="189">
        <f t="shared" si="21"/>
        <v>0</v>
      </c>
      <c r="O124" s="245">
        <f t="shared" si="32"/>
        <v>0</v>
      </c>
      <c r="P124" s="115"/>
      <c r="Q124" s="116"/>
      <c r="R124" s="116"/>
    </row>
    <row r="125" spans="1:18" s="83" customFormat="1">
      <c r="A125" s="244">
        <f t="shared" si="30"/>
        <v>0</v>
      </c>
      <c r="B125" s="87">
        <f t="shared" si="30"/>
        <v>0</v>
      </c>
      <c r="C125" s="87">
        <f t="shared" si="30"/>
        <v>0</v>
      </c>
      <c r="D125" s="87">
        <f t="shared" si="30"/>
        <v>0</v>
      </c>
      <c r="E125" s="87">
        <f t="shared" si="30"/>
        <v>0</v>
      </c>
      <c r="F125" s="87">
        <f t="shared" si="30"/>
        <v>0</v>
      </c>
      <c r="G125" s="87">
        <f t="shared" si="30"/>
        <v>0</v>
      </c>
      <c r="H125" s="87">
        <f t="shared" si="30"/>
        <v>0</v>
      </c>
      <c r="I125" s="87">
        <f t="shared" si="30"/>
        <v>0</v>
      </c>
      <c r="J125" s="89">
        <f>J22*(1-'Форма ввода (консолид.ДС)'!$C$56)</f>
        <v>0</v>
      </c>
      <c r="K125" s="189">
        <f t="shared" si="19"/>
        <v>0</v>
      </c>
      <c r="L125" s="233">
        <f t="shared" si="31"/>
        <v>0</v>
      </c>
      <c r="M125" s="189">
        <f t="shared" si="20"/>
        <v>0</v>
      </c>
      <c r="N125" s="189">
        <f t="shared" si="21"/>
        <v>0</v>
      </c>
      <c r="O125" s="245">
        <f t="shared" si="32"/>
        <v>0</v>
      </c>
      <c r="P125" s="115"/>
      <c r="Q125" s="116"/>
      <c r="R125" s="116"/>
    </row>
    <row r="126" spans="1:18" s="83" customFormat="1">
      <c r="A126" s="244">
        <f t="shared" si="30"/>
        <v>0</v>
      </c>
      <c r="B126" s="87">
        <f t="shared" si="30"/>
        <v>0</v>
      </c>
      <c r="C126" s="87">
        <f t="shared" si="30"/>
        <v>0</v>
      </c>
      <c r="D126" s="87">
        <f t="shared" si="30"/>
        <v>0</v>
      </c>
      <c r="E126" s="87">
        <f t="shared" si="30"/>
        <v>0</v>
      </c>
      <c r="F126" s="87">
        <f t="shared" si="30"/>
        <v>0</v>
      </c>
      <c r="G126" s="87">
        <f t="shared" si="30"/>
        <v>0</v>
      </c>
      <c r="H126" s="87">
        <f t="shared" si="30"/>
        <v>0</v>
      </c>
      <c r="I126" s="87">
        <f t="shared" si="30"/>
        <v>0</v>
      </c>
      <c r="J126" s="89">
        <f>J23*(1-'Форма ввода (консолид.ДС)'!$C$56)</f>
        <v>0</v>
      </c>
      <c r="K126" s="189">
        <f t="shared" si="19"/>
        <v>0</v>
      </c>
      <c r="L126" s="233">
        <f t="shared" si="31"/>
        <v>0</v>
      </c>
      <c r="M126" s="189">
        <f t="shared" si="20"/>
        <v>0</v>
      </c>
      <c r="N126" s="189">
        <f t="shared" si="21"/>
        <v>0</v>
      </c>
      <c r="O126" s="245">
        <f t="shared" si="32"/>
        <v>0</v>
      </c>
      <c r="P126" s="115"/>
      <c r="Q126" s="116"/>
      <c r="R126" s="116"/>
    </row>
    <row r="127" spans="1:18" s="83" customFormat="1">
      <c r="A127" s="244">
        <f t="shared" si="30"/>
        <v>0</v>
      </c>
      <c r="B127" s="87">
        <f t="shared" si="30"/>
        <v>0</v>
      </c>
      <c r="C127" s="87">
        <f t="shared" si="30"/>
        <v>0</v>
      </c>
      <c r="D127" s="87">
        <f t="shared" si="30"/>
        <v>0</v>
      </c>
      <c r="E127" s="87">
        <f t="shared" si="30"/>
        <v>0</v>
      </c>
      <c r="F127" s="87">
        <f t="shared" si="30"/>
        <v>0</v>
      </c>
      <c r="G127" s="87">
        <f t="shared" si="30"/>
        <v>0</v>
      </c>
      <c r="H127" s="87">
        <f t="shared" si="30"/>
        <v>0</v>
      </c>
      <c r="I127" s="87">
        <f t="shared" si="30"/>
        <v>0</v>
      </c>
      <c r="J127" s="89">
        <f>J24*(1-'Форма ввода (консолид.ДС)'!$C$56)</f>
        <v>0</v>
      </c>
      <c r="K127" s="189">
        <f t="shared" si="19"/>
        <v>0</v>
      </c>
      <c r="L127" s="233">
        <f t="shared" si="31"/>
        <v>0</v>
      </c>
      <c r="M127" s="189">
        <f t="shared" si="20"/>
        <v>0</v>
      </c>
      <c r="N127" s="189">
        <f t="shared" si="21"/>
        <v>0</v>
      </c>
      <c r="O127" s="245">
        <f t="shared" si="32"/>
        <v>0</v>
      </c>
      <c r="P127" s="115"/>
      <c r="Q127" s="116"/>
      <c r="R127" s="116"/>
    </row>
    <row r="128" spans="1:18" s="83" customFormat="1">
      <c r="A128" s="244">
        <f t="shared" si="30"/>
        <v>0</v>
      </c>
      <c r="B128" s="87">
        <f t="shared" si="30"/>
        <v>0</v>
      </c>
      <c r="C128" s="87">
        <f t="shared" si="30"/>
        <v>0</v>
      </c>
      <c r="D128" s="87">
        <f t="shared" si="30"/>
        <v>0</v>
      </c>
      <c r="E128" s="87">
        <f t="shared" si="30"/>
        <v>0</v>
      </c>
      <c r="F128" s="87">
        <f t="shared" si="30"/>
        <v>0</v>
      </c>
      <c r="G128" s="87">
        <f t="shared" si="30"/>
        <v>0</v>
      </c>
      <c r="H128" s="87">
        <f t="shared" si="30"/>
        <v>0</v>
      </c>
      <c r="I128" s="87">
        <f t="shared" si="30"/>
        <v>0</v>
      </c>
      <c r="J128" s="89">
        <f>J25*(1-'Форма ввода (консолид.ДС)'!$C$56)</f>
        <v>0</v>
      </c>
      <c r="K128" s="189">
        <f t="shared" si="19"/>
        <v>0</v>
      </c>
      <c r="L128" s="233">
        <f t="shared" si="31"/>
        <v>0</v>
      </c>
      <c r="M128" s="189">
        <f t="shared" si="20"/>
        <v>0</v>
      </c>
      <c r="N128" s="189">
        <f t="shared" si="21"/>
        <v>0</v>
      </c>
      <c r="O128" s="245">
        <f t="shared" si="32"/>
        <v>0</v>
      </c>
      <c r="P128" s="115"/>
      <c r="Q128" s="116"/>
      <c r="R128" s="116"/>
    </row>
    <row r="129" spans="1:18" s="83" customFormat="1">
      <c r="A129" s="244">
        <f t="shared" si="30"/>
        <v>0</v>
      </c>
      <c r="B129" s="87">
        <f t="shared" si="30"/>
        <v>0</v>
      </c>
      <c r="C129" s="87">
        <f t="shared" si="30"/>
        <v>0</v>
      </c>
      <c r="D129" s="87">
        <f t="shared" si="30"/>
        <v>0</v>
      </c>
      <c r="E129" s="87">
        <f t="shared" si="30"/>
        <v>0</v>
      </c>
      <c r="F129" s="87">
        <f t="shared" si="30"/>
        <v>0</v>
      </c>
      <c r="G129" s="87">
        <f t="shared" si="30"/>
        <v>0</v>
      </c>
      <c r="H129" s="87">
        <f t="shared" si="30"/>
        <v>0</v>
      </c>
      <c r="I129" s="87">
        <f t="shared" si="30"/>
        <v>0</v>
      </c>
      <c r="J129" s="89">
        <f>J26*(1-'Форма ввода (консолид.ДС)'!$C$56)</f>
        <v>0</v>
      </c>
      <c r="K129" s="189">
        <f t="shared" si="19"/>
        <v>0</v>
      </c>
      <c r="L129" s="233">
        <f t="shared" si="31"/>
        <v>0</v>
      </c>
      <c r="M129" s="189">
        <f t="shared" si="20"/>
        <v>0</v>
      </c>
      <c r="N129" s="189">
        <f t="shared" si="21"/>
        <v>0</v>
      </c>
      <c r="O129" s="245">
        <f t="shared" si="32"/>
        <v>0</v>
      </c>
      <c r="P129" s="115"/>
      <c r="Q129" s="116"/>
      <c r="R129" s="116"/>
    </row>
    <row r="130" spans="1:18" s="83" customFormat="1">
      <c r="A130" s="244">
        <f t="shared" si="30"/>
        <v>0</v>
      </c>
      <c r="B130" s="87">
        <f t="shared" si="30"/>
        <v>0</v>
      </c>
      <c r="C130" s="87">
        <f t="shared" si="30"/>
        <v>0</v>
      </c>
      <c r="D130" s="87">
        <f t="shared" si="30"/>
        <v>0</v>
      </c>
      <c r="E130" s="87">
        <f t="shared" si="30"/>
        <v>0</v>
      </c>
      <c r="F130" s="87">
        <f t="shared" si="30"/>
        <v>0</v>
      </c>
      <c r="G130" s="87">
        <f t="shared" si="30"/>
        <v>0</v>
      </c>
      <c r="H130" s="87">
        <f t="shared" si="30"/>
        <v>0</v>
      </c>
      <c r="I130" s="87">
        <f t="shared" si="30"/>
        <v>0</v>
      </c>
      <c r="J130" s="89">
        <f>J27*(1-'Форма ввода (консолид.ДС)'!$C$56)</f>
        <v>0</v>
      </c>
      <c r="K130" s="189">
        <f t="shared" si="19"/>
        <v>0</v>
      </c>
      <c r="L130" s="233">
        <f t="shared" si="31"/>
        <v>0</v>
      </c>
      <c r="M130" s="189">
        <f t="shared" si="20"/>
        <v>0</v>
      </c>
      <c r="N130" s="189">
        <f t="shared" si="21"/>
        <v>0</v>
      </c>
      <c r="O130" s="245">
        <f t="shared" si="32"/>
        <v>0</v>
      </c>
      <c r="P130" s="115"/>
      <c r="Q130" s="116"/>
      <c r="R130" s="116"/>
    </row>
    <row r="131" spans="1:18" s="83" customFormat="1">
      <c r="A131" s="244">
        <f t="shared" si="30"/>
        <v>0</v>
      </c>
      <c r="B131" s="87">
        <f t="shared" si="30"/>
        <v>0</v>
      </c>
      <c r="C131" s="87">
        <f t="shared" si="30"/>
        <v>0</v>
      </c>
      <c r="D131" s="87">
        <f t="shared" si="30"/>
        <v>0</v>
      </c>
      <c r="E131" s="87">
        <f t="shared" si="30"/>
        <v>0</v>
      </c>
      <c r="F131" s="87">
        <f t="shared" si="30"/>
        <v>0</v>
      </c>
      <c r="G131" s="87">
        <f t="shared" si="30"/>
        <v>0</v>
      </c>
      <c r="H131" s="87">
        <f t="shared" si="30"/>
        <v>0</v>
      </c>
      <c r="I131" s="87">
        <f t="shared" si="30"/>
        <v>0</v>
      </c>
      <c r="J131" s="89">
        <f>J28*(1-'Форма ввода (консолид.ДС)'!$C$56)</f>
        <v>0</v>
      </c>
      <c r="K131" s="189">
        <f t="shared" si="19"/>
        <v>0</v>
      </c>
      <c r="L131" s="233">
        <f t="shared" si="31"/>
        <v>0</v>
      </c>
      <c r="M131" s="189">
        <f t="shared" si="20"/>
        <v>0</v>
      </c>
      <c r="N131" s="189">
        <f t="shared" si="21"/>
        <v>0</v>
      </c>
      <c r="O131" s="245">
        <f t="shared" si="32"/>
        <v>0</v>
      </c>
      <c r="P131" s="115"/>
      <c r="Q131" s="116"/>
      <c r="R131" s="116"/>
    </row>
    <row r="132" spans="1:18" s="83" customFormat="1">
      <c r="A132" s="190" t="str">
        <f t="shared" si="30"/>
        <v>ПОДЫТОГ :</v>
      </c>
      <c r="B132" s="236"/>
      <c r="C132" s="236"/>
      <c r="D132" s="236"/>
      <c r="E132" s="236"/>
      <c r="F132" s="236"/>
      <c r="G132" s="236"/>
      <c r="H132" s="236"/>
      <c r="I132" s="236"/>
      <c r="J132" s="246"/>
      <c r="K132" s="191">
        <f>SUM(K122:K131)</f>
        <v>0</v>
      </c>
      <c r="L132" s="247"/>
      <c r="M132" s="191">
        <f>SUM(M122:M131)</f>
        <v>0</v>
      </c>
      <c r="N132" s="191">
        <f>SUM(N122:N131)</f>
        <v>0</v>
      </c>
      <c r="O132" s="248"/>
      <c r="P132" s="115"/>
      <c r="Q132" s="116"/>
      <c r="R132" s="116"/>
    </row>
    <row r="133" spans="1:18" s="83" customFormat="1">
      <c r="A133" s="244">
        <f t="shared" si="30"/>
        <v>0</v>
      </c>
      <c r="B133" s="87">
        <f t="shared" si="30"/>
        <v>0</v>
      </c>
      <c r="C133" s="87">
        <f t="shared" si="30"/>
        <v>0</v>
      </c>
      <c r="D133" s="87">
        <f t="shared" si="30"/>
        <v>0</v>
      </c>
      <c r="E133" s="87">
        <f t="shared" si="30"/>
        <v>0</v>
      </c>
      <c r="F133" s="87">
        <f t="shared" si="30"/>
        <v>0</v>
      </c>
      <c r="G133" s="87">
        <f t="shared" si="30"/>
        <v>0</v>
      </c>
      <c r="H133" s="87">
        <f t="shared" si="30"/>
        <v>0</v>
      </c>
      <c r="I133" s="87">
        <f t="shared" si="30"/>
        <v>0</v>
      </c>
      <c r="J133" s="89">
        <f>J30*(1-'Форма ввода (консолид.ДС)'!$C$56)</f>
        <v>0</v>
      </c>
      <c r="K133" s="189">
        <f t="shared" si="19"/>
        <v>0</v>
      </c>
      <c r="L133" s="233">
        <f t="shared" si="31"/>
        <v>0</v>
      </c>
      <c r="M133" s="189">
        <f t="shared" si="20"/>
        <v>0</v>
      </c>
      <c r="N133" s="189">
        <f t="shared" si="21"/>
        <v>0</v>
      </c>
      <c r="O133" s="245">
        <f t="shared" si="32"/>
        <v>0</v>
      </c>
      <c r="P133" s="115"/>
      <c r="Q133" s="116"/>
      <c r="R133" s="116"/>
    </row>
    <row r="134" spans="1:18" s="83" customFormat="1">
      <c r="A134" s="244">
        <f t="shared" si="30"/>
        <v>0</v>
      </c>
      <c r="B134" s="87">
        <f t="shared" si="30"/>
        <v>0</v>
      </c>
      <c r="C134" s="87">
        <f t="shared" si="30"/>
        <v>0</v>
      </c>
      <c r="D134" s="87">
        <f t="shared" si="30"/>
        <v>0</v>
      </c>
      <c r="E134" s="87">
        <f t="shared" si="30"/>
        <v>0</v>
      </c>
      <c r="F134" s="87">
        <f t="shared" si="30"/>
        <v>0</v>
      </c>
      <c r="G134" s="87">
        <f t="shared" si="30"/>
        <v>0</v>
      </c>
      <c r="H134" s="87">
        <f t="shared" si="30"/>
        <v>0</v>
      </c>
      <c r="I134" s="87">
        <f t="shared" si="30"/>
        <v>0</v>
      </c>
      <c r="J134" s="89">
        <f>J31*(1-'Форма ввода (консолид.ДС)'!$C$56)</f>
        <v>0</v>
      </c>
      <c r="K134" s="189">
        <f t="shared" si="19"/>
        <v>0</v>
      </c>
      <c r="L134" s="233">
        <f t="shared" si="31"/>
        <v>0</v>
      </c>
      <c r="M134" s="189">
        <f t="shared" si="20"/>
        <v>0</v>
      </c>
      <c r="N134" s="189">
        <f t="shared" si="21"/>
        <v>0</v>
      </c>
      <c r="O134" s="245">
        <f t="shared" si="32"/>
        <v>0</v>
      </c>
      <c r="P134" s="115"/>
      <c r="Q134" s="116"/>
      <c r="R134" s="116"/>
    </row>
    <row r="135" spans="1:18" s="83" customFormat="1">
      <c r="A135" s="244">
        <f t="shared" si="30"/>
        <v>0</v>
      </c>
      <c r="B135" s="87">
        <f t="shared" si="30"/>
        <v>0</v>
      </c>
      <c r="C135" s="87">
        <f t="shared" si="30"/>
        <v>0</v>
      </c>
      <c r="D135" s="87">
        <f t="shared" si="30"/>
        <v>0</v>
      </c>
      <c r="E135" s="87">
        <f t="shared" si="30"/>
        <v>0</v>
      </c>
      <c r="F135" s="87">
        <f t="shared" si="30"/>
        <v>0</v>
      </c>
      <c r="G135" s="87">
        <f t="shared" si="30"/>
        <v>0</v>
      </c>
      <c r="H135" s="87">
        <f t="shared" si="30"/>
        <v>0</v>
      </c>
      <c r="I135" s="87">
        <f t="shared" ref="I135" si="33">I32</f>
        <v>0</v>
      </c>
      <c r="J135" s="89">
        <f>J32*(1-'Форма ввода (консолид.ДС)'!$C$56)</f>
        <v>0</v>
      </c>
      <c r="K135" s="189">
        <f t="shared" si="19"/>
        <v>0</v>
      </c>
      <c r="L135" s="233">
        <f t="shared" si="31"/>
        <v>0</v>
      </c>
      <c r="M135" s="189">
        <f t="shared" si="20"/>
        <v>0</v>
      </c>
      <c r="N135" s="189">
        <f t="shared" si="21"/>
        <v>0</v>
      </c>
      <c r="O135" s="245">
        <f t="shared" si="32"/>
        <v>0</v>
      </c>
      <c r="P135" s="115"/>
      <c r="Q135" s="116"/>
      <c r="R135" s="116"/>
    </row>
    <row r="136" spans="1:18" s="83" customFormat="1">
      <c r="A136" s="244">
        <f t="shared" si="30"/>
        <v>0</v>
      </c>
      <c r="B136" s="87">
        <f t="shared" ref="B136:I136" si="34">B33</f>
        <v>0</v>
      </c>
      <c r="C136" s="87">
        <f t="shared" si="34"/>
        <v>0</v>
      </c>
      <c r="D136" s="87">
        <f t="shared" si="34"/>
        <v>0</v>
      </c>
      <c r="E136" s="87">
        <f t="shared" si="34"/>
        <v>0</v>
      </c>
      <c r="F136" s="87">
        <f t="shared" si="34"/>
        <v>0</v>
      </c>
      <c r="G136" s="87">
        <f t="shared" si="34"/>
        <v>0</v>
      </c>
      <c r="H136" s="87">
        <f t="shared" si="34"/>
        <v>0</v>
      </c>
      <c r="I136" s="87">
        <f t="shared" si="34"/>
        <v>0</v>
      </c>
      <c r="J136" s="89">
        <f>J33*(1-'Форма ввода (консолид.ДС)'!$C$56)</f>
        <v>0</v>
      </c>
      <c r="K136" s="189">
        <f t="shared" si="19"/>
        <v>0</v>
      </c>
      <c r="L136" s="233">
        <f t="shared" si="31"/>
        <v>0</v>
      </c>
      <c r="M136" s="189">
        <f t="shared" si="20"/>
        <v>0</v>
      </c>
      <c r="N136" s="189">
        <f t="shared" si="21"/>
        <v>0</v>
      </c>
      <c r="O136" s="245">
        <f t="shared" si="32"/>
        <v>0</v>
      </c>
      <c r="P136" s="115"/>
      <c r="Q136" s="116"/>
      <c r="R136" s="116"/>
    </row>
    <row r="137" spans="1:18" s="83" customFormat="1">
      <c r="A137" s="244">
        <f t="shared" si="30"/>
        <v>0</v>
      </c>
      <c r="B137" s="87">
        <f t="shared" ref="B137:I137" si="35">B34</f>
        <v>0</v>
      </c>
      <c r="C137" s="87">
        <f t="shared" si="35"/>
        <v>0</v>
      </c>
      <c r="D137" s="87">
        <f t="shared" si="35"/>
        <v>0</v>
      </c>
      <c r="E137" s="87">
        <f t="shared" si="35"/>
        <v>0</v>
      </c>
      <c r="F137" s="87">
        <f t="shared" si="35"/>
        <v>0</v>
      </c>
      <c r="G137" s="87">
        <f t="shared" si="35"/>
        <v>0</v>
      </c>
      <c r="H137" s="87">
        <f t="shared" si="35"/>
        <v>0</v>
      </c>
      <c r="I137" s="87">
        <f t="shared" si="35"/>
        <v>0</v>
      </c>
      <c r="J137" s="89">
        <f>J34*(1-'Форма ввода (консолид.ДС)'!$C$56)</f>
        <v>0</v>
      </c>
      <c r="K137" s="189">
        <f t="shared" si="19"/>
        <v>0</v>
      </c>
      <c r="L137" s="233">
        <f t="shared" si="31"/>
        <v>0</v>
      </c>
      <c r="M137" s="189">
        <f t="shared" si="20"/>
        <v>0</v>
      </c>
      <c r="N137" s="189">
        <f t="shared" si="21"/>
        <v>0</v>
      </c>
      <c r="O137" s="245">
        <f t="shared" si="32"/>
        <v>0</v>
      </c>
      <c r="P137" s="115"/>
      <c r="Q137" s="116"/>
      <c r="R137" s="116"/>
    </row>
    <row r="138" spans="1:18" s="83" customFormat="1">
      <c r="A138" s="244">
        <f t="shared" si="30"/>
        <v>0</v>
      </c>
      <c r="B138" s="87">
        <f t="shared" ref="B138:I138" si="36">B35</f>
        <v>0</v>
      </c>
      <c r="C138" s="87">
        <f t="shared" si="36"/>
        <v>0</v>
      </c>
      <c r="D138" s="87">
        <f t="shared" si="36"/>
        <v>0</v>
      </c>
      <c r="E138" s="87">
        <f t="shared" si="36"/>
        <v>0</v>
      </c>
      <c r="F138" s="87">
        <f t="shared" si="36"/>
        <v>0</v>
      </c>
      <c r="G138" s="87">
        <f t="shared" si="36"/>
        <v>0</v>
      </c>
      <c r="H138" s="87">
        <f t="shared" si="36"/>
        <v>0</v>
      </c>
      <c r="I138" s="87">
        <f t="shared" si="36"/>
        <v>0</v>
      </c>
      <c r="J138" s="89">
        <f>J35*(1-'Форма ввода (консолид.ДС)'!$C$56)</f>
        <v>0</v>
      </c>
      <c r="K138" s="189">
        <f t="shared" si="19"/>
        <v>0</v>
      </c>
      <c r="L138" s="233">
        <f t="shared" si="31"/>
        <v>0</v>
      </c>
      <c r="M138" s="189">
        <f t="shared" si="20"/>
        <v>0</v>
      </c>
      <c r="N138" s="189">
        <f t="shared" si="21"/>
        <v>0</v>
      </c>
      <c r="O138" s="245">
        <f t="shared" si="32"/>
        <v>0</v>
      </c>
      <c r="P138" s="115"/>
      <c r="Q138" s="116"/>
      <c r="R138" s="116"/>
    </row>
    <row r="139" spans="1:18" s="83" customFormat="1">
      <c r="A139" s="244">
        <f t="shared" si="30"/>
        <v>0</v>
      </c>
      <c r="B139" s="87">
        <f t="shared" ref="B139:I139" si="37">B36</f>
        <v>0</v>
      </c>
      <c r="C139" s="87">
        <f t="shared" si="37"/>
        <v>0</v>
      </c>
      <c r="D139" s="87">
        <f t="shared" si="37"/>
        <v>0</v>
      </c>
      <c r="E139" s="87">
        <f t="shared" si="37"/>
        <v>0</v>
      </c>
      <c r="F139" s="87">
        <f t="shared" si="37"/>
        <v>0</v>
      </c>
      <c r="G139" s="87">
        <f t="shared" si="37"/>
        <v>0</v>
      </c>
      <c r="H139" s="87">
        <f t="shared" si="37"/>
        <v>0</v>
      </c>
      <c r="I139" s="87">
        <f t="shared" si="37"/>
        <v>0</v>
      </c>
      <c r="J139" s="89">
        <f>J36*(1-'Форма ввода (консолид.ДС)'!$C$56)</f>
        <v>0</v>
      </c>
      <c r="K139" s="189">
        <f t="shared" si="19"/>
        <v>0</v>
      </c>
      <c r="L139" s="233">
        <f t="shared" si="31"/>
        <v>0</v>
      </c>
      <c r="M139" s="189">
        <f t="shared" si="20"/>
        <v>0</v>
      </c>
      <c r="N139" s="189">
        <f t="shared" si="21"/>
        <v>0</v>
      </c>
      <c r="O139" s="245">
        <f t="shared" si="32"/>
        <v>0</v>
      </c>
      <c r="P139" s="115"/>
      <c r="Q139" s="116"/>
      <c r="R139" s="116"/>
    </row>
    <row r="140" spans="1:18" s="83" customFormat="1">
      <c r="A140" s="244">
        <f t="shared" si="30"/>
        <v>0</v>
      </c>
      <c r="B140" s="87">
        <f t="shared" ref="B140:I140" si="38">B37</f>
        <v>0</v>
      </c>
      <c r="C140" s="87">
        <f t="shared" si="38"/>
        <v>0</v>
      </c>
      <c r="D140" s="87">
        <f t="shared" si="38"/>
        <v>0</v>
      </c>
      <c r="E140" s="87">
        <f t="shared" si="38"/>
        <v>0</v>
      </c>
      <c r="F140" s="87">
        <f t="shared" si="38"/>
        <v>0</v>
      </c>
      <c r="G140" s="87">
        <f t="shared" si="38"/>
        <v>0</v>
      </c>
      <c r="H140" s="87">
        <f t="shared" si="38"/>
        <v>0</v>
      </c>
      <c r="I140" s="87">
        <f t="shared" si="38"/>
        <v>0</v>
      </c>
      <c r="J140" s="89">
        <f>J37*(1-'Форма ввода (консолид.ДС)'!$C$56)</f>
        <v>0</v>
      </c>
      <c r="K140" s="189">
        <f t="shared" si="19"/>
        <v>0</v>
      </c>
      <c r="L140" s="233">
        <f t="shared" si="31"/>
        <v>0</v>
      </c>
      <c r="M140" s="189">
        <f t="shared" si="20"/>
        <v>0</v>
      </c>
      <c r="N140" s="189">
        <f t="shared" si="21"/>
        <v>0</v>
      </c>
      <c r="O140" s="245">
        <f t="shared" si="32"/>
        <v>0</v>
      </c>
      <c r="P140" s="115"/>
      <c r="Q140" s="116"/>
      <c r="R140" s="116"/>
    </row>
    <row r="141" spans="1:18" s="83" customFormat="1">
      <c r="A141" s="244">
        <f t="shared" si="30"/>
        <v>0</v>
      </c>
      <c r="B141" s="87">
        <f t="shared" ref="B141:I141" si="39">B38</f>
        <v>0</v>
      </c>
      <c r="C141" s="87">
        <f t="shared" si="39"/>
        <v>0</v>
      </c>
      <c r="D141" s="87">
        <f t="shared" si="39"/>
        <v>0</v>
      </c>
      <c r="E141" s="87">
        <f t="shared" si="39"/>
        <v>0</v>
      </c>
      <c r="F141" s="87">
        <f t="shared" si="39"/>
        <v>0</v>
      </c>
      <c r="G141" s="87">
        <f t="shared" si="39"/>
        <v>0</v>
      </c>
      <c r="H141" s="87">
        <f t="shared" si="39"/>
        <v>0</v>
      </c>
      <c r="I141" s="87">
        <f t="shared" si="39"/>
        <v>0</v>
      </c>
      <c r="J141" s="89">
        <f>J38*(1-'Форма ввода (консолид.ДС)'!$C$56)</f>
        <v>0</v>
      </c>
      <c r="K141" s="189">
        <f t="shared" si="19"/>
        <v>0</v>
      </c>
      <c r="L141" s="233">
        <f t="shared" si="31"/>
        <v>0</v>
      </c>
      <c r="M141" s="189">
        <f t="shared" si="20"/>
        <v>0</v>
      </c>
      <c r="N141" s="189">
        <f t="shared" si="21"/>
        <v>0</v>
      </c>
      <c r="O141" s="245">
        <f t="shared" si="32"/>
        <v>0</v>
      </c>
      <c r="P141" s="115"/>
      <c r="Q141" s="116"/>
      <c r="R141" s="116"/>
    </row>
    <row r="142" spans="1:18" s="83" customFormat="1">
      <c r="A142" s="244">
        <f t="shared" si="30"/>
        <v>0</v>
      </c>
      <c r="B142" s="87">
        <f t="shared" ref="B142:I142" si="40">B39</f>
        <v>0</v>
      </c>
      <c r="C142" s="87">
        <f t="shared" si="40"/>
        <v>0</v>
      </c>
      <c r="D142" s="87">
        <f t="shared" si="40"/>
        <v>0</v>
      </c>
      <c r="E142" s="87">
        <f t="shared" si="40"/>
        <v>0</v>
      </c>
      <c r="F142" s="87">
        <f t="shared" si="40"/>
        <v>0</v>
      </c>
      <c r="G142" s="87">
        <f t="shared" si="40"/>
        <v>0</v>
      </c>
      <c r="H142" s="87">
        <f t="shared" si="40"/>
        <v>0</v>
      </c>
      <c r="I142" s="87">
        <f t="shared" si="40"/>
        <v>0</v>
      </c>
      <c r="J142" s="89">
        <f>J39*(1-'Форма ввода (консолид.ДС)'!$C$56)</f>
        <v>0</v>
      </c>
      <c r="K142" s="189">
        <f t="shared" si="19"/>
        <v>0</v>
      </c>
      <c r="L142" s="233">
        <f t="shared" si="31"/>
        <v>0</v>
      </c>
      <c r="M142" s="189">
        <f t="shared" si="20"/>
        <v>0</v>
      </c>
      <c r="N142" s="189">
        <f t="shared" si="21"/>
        <v>0</v>
      </c>
      <c r="O142" s="245">
        <f t="shared" si="32"/>
        <v>0</v>
      </c>
      <c r="P142" s="115"/>
      <c r="Q142" s="116"/>
      <c r="R142" s="116"/>
    </row>
    <row r="143" spans="1:18" s="83" customFormat="1">
      <c r="A143" s="190" t="str">
        <f t="shared" si="30"/>
        <v>ПОДЫТОГ :</v>
      </c>
      <c r="B143" s="236"/>
      <c r="C143" s="236"/>
      <c r="D143" s="236"/>
      <c r="E143" s="236"/>
      <c r="F143" s="236"/>
      <c r="G143" s="236"/>
      <c r="H143" s="236"/>
      <c r="I143" s="236"/>
      <c r="J143" s="246"/>
      <c r="K143" s="191">
        <f>SUM(K133:K142)</f>
        <v>0</v>
      </c>
      <c r="L143" s="247"/>
      <c r="M143" s="191">
        <f>SUM(M133:M142)</f>
        <v>0</v>
      </c>
      <c r="N143" s="191">
        <f>SUM(N133:N142)</f>
        <v>0</v>
      </c>
      <c r="O143" s="248"/>
      <c r="P143" s="115"/>
      <c r="Q143" s="116"/>
      <c r="R143" s="116"/>
    </row>
    <row r="144" spans="1:18" s="83" customFormat="1">
      <c r="A144" s="244">
        <f t="shared" si="30"/>
        <v>0</v>
      </c>
      <c r="B144" s="87">
        <f t="shared" ref="B144:I144" si="41">B41</f>
        <v>0</v>
      </c>
      <c r="C144" s="87">
        <f t="shared" si="41"/>
        <v>0</v>
      </c>
      <c r="D144" s="87">
        <f t="shared" si="41"/>
        <v>0</v>
      </c>
      <c r="E144" s="87">
        <f t="shared" si="41"/>
        <v>0</v>
      </c>
      <c r="F144" s="87">
        <f t="shared" si="41"/>
        <v>0</v>
      </c>
      <c r="G144" s="87">
        <f t="shared" si="41"/>
        <v>0</v>
      </c>
      <c r="H144" s="87">
        <f t="shared" si="41"/>
        <v>0</v>
      </c>
      <c r="I144" s="87">
        <f t="shared" si="41"/>
        <v>0</v>
      </c>
      <c r="J144" s="89">
        <f>J41*(1-'Форма ввода (консолид.ДС)'!$C$56)</f>
        <v>0</v>
      </c>
      <c r="K144" s="189">
        <f t="shared" si="19"/>
        <v>0</v>
      </c>
      <c r="L144" s="233">
        <f t="shared" si="31"/>
        <v>0</v>
      </c>
      <c r="M144" s="189">
        <f t="shared" si="20"/>
        <v>0</v>
      </c>
      <c r="N144" s="189">
        <f t="shared" si="21"/>
        <v>0</v>
      </c>
      <c r="O144" s="245">
        <f t="shared" si="32"/>
        <v>0</v>
      </c>
      <c r="P144" s="115"/>
      <c r="Q144" s="116"/>
      <c r="R144" s="116"/>
    </row>
    <row r="145" spans="1:18" s="83" customFormat="1">
      <c r="A145" s="244">
        <f t="shared" si="30"/>
        <v>0</v>
      </c>
      <c r="B145" s="87">
        <f t="shared" ref="B145:I145" si="42">B42</f>
        <v>0</v>
      </c>
      <c r="C145" s="87">
        <f t="shared" si="42"/>
        <v>0</v>
      </c>
      <c r="D145" s="87">
        <f t="shared" si="42"/>
        <v>0</v>
      </c>
      <c r="E145" s="87">
        <f t="shared" si="42"/>
        <v>0</v>
      </c>
      <c r="F145" s="87">
        <f t="shared" si="42"/>
        <v>0</v>
      </c>
      <c r="G145" s="87">
        <f t="shared" si="42"/>
        <v>0</v>
      </c>
      <c r="H145" s="87">
        <f t="shared" si="42"/>
        <v>0</v>
      </c>
      <c r="I145" s="87">
        <f t="shared" si="42"/>
        <v>0</v>
      </c>
      <c r="J145" s="89">
        <f>J42*(1-'Форма ввода (консолид.ДС)'!$C$56)</f>
        <v>0</v>
      </c>
      <c r="K145" s="189">
        <f t="shared" si="19"/>
        <v>0</v>
      </c>
      <c r="L145" s="233">
        <f t="shared" si="31"/>
        <v>0</v>
      </c>
      <c r="M145" s="189">
        <f t="shared" si="20"/>
        <v>0</v>
      </c>
      <c r="N145" s="189">
        <f t="shared" si="21"/>
        <v>0</v>
      </c>
      <c r="O145" s="245">
        <f t="shared" si="32"/>
        <v>0</v>
      </c>
      <c r="P145" s="115"/>
      <c r="Q145" s="116"/>
      <c r="R145" s="116"/>
    </row>
    <row r="146" spans="1:18" s="83" customFormat="1">
      <c r="A146" s="244">
        <f t="shared" si="30"/>
        <v>0</v>
      </c>
      <c r="B146" s="87">
        <f t="shared" ref="B146:I146" si="43">B43</f>
        <v>0</v>
      </c>
      <c r="C146" s="87">
        <f t="shared" si="43"/>
        <v>0</v>
      </c>
      <c r="D146" s="87">
        <f t="shared" si="43"/>
        <v>0</v>
      </c>
      <c r="E146" s="87">
        <f t="shared" si="43"/>
        <v>0</v>
      </c>
      <c r="F146" s="87">
        <f t="shared" si="43"/>
        <v>0</v>
      </c>
      <c r="G146" s="87">
        <f t="shared" si="43"/>
        <v>0</v>
      </c>
      <c r="H146" s="87">
        <f t="shared" si="43"/>
        <v>0</v>
      </c>
      <c r="I146" s="87">
        <f t="shared" si="43"/>
        <v>0</v>
      </c>
      <c r="J146" s="89">
        <f>J43*(1-'Форма ввода (консолид.ДС)'!$C$56)</f>
        <v>0</v>
      </c>
      <c r="K146" s="189">
        <f t="shared" si="19"/>
        <v>0</v>
      </c>
      <c r="L146" s="233">
        <f t="shared" si="31"/>
        <v>0</v>
      </c>
      <c r="M146" s="189">
        <f t="shared" si="20"/>
        <v>0</v>
      </c>
      <c r="N146" s="189">
        <f t="shared" si="21"/>
        <v>0</v>
      </c>
      <c r="O146" s="245">
        <f t="shared" si="32"/>
        <v>0</v>
      </c>
      <c r="P146" s="115"/>
      <c r="Q146" s="116"/>
      <c r="R146" s="116"/>
    </row>
    <row r="147" spans="1:18" s="83" customFormat="1">
      <c r="A147" s="244">
        <f t="shared" si="30"/>
        <v>0</v>
      </c>
      <c r="B147" s="87">
        <f t="shared" ref="B147:I147" si="44">B44</f>
        <v>0</v>
      </c>
      <c r="C147" s="87">
        <f t="shared" si="44"/>
        <v>0</v>
      </c>
      <c r="D147" s="87">
        <f t="shared" si="44"/>
        <v>0</v>
      </c>
      <c r="E147" s="87">
        <f t="shared" si="44"/>
        <v>0</v>
      </c>
      <c r="F147" s="87">
        <f t="shared" si="44"/>
        <v>0</v>
      </c>
      <c r="G147" s="87">
        <f t="shared" si="44"/>
        <v>0</v>
      </c>
      <c r="H147" s="87">
        <f t="shared" si="44"/>
        <v>0</v>
      </c>
      <c r="I147" s="87">
        <f t="shared" si="44"/>
        <v>0</v>
      </c>
      <c r="J147" s="89">
        <f>J44*(1-'Форма ввода (консолид.ДС)'!$C$56)</f>
        <v>0</v>
      </c>
      <c r="K147" s="189">
        <f t="shared" si="19"/>
        <v>0</v>
      </c>
      <c r="L147" s="233">
        <f t="shared" si="31"/>
        <v>0</v>
      </c>
      <c r="M147" s="189">
        <f t="shared" si="20"/>
        <v>0</v>
      </c>
      <c r="N147" s="189">
        <f t="shared" si="21"/>
        <v>0</v>
      </c>
      <c r="O147" s="245">
        <f t="shared" si="32"/>
        <v>0</v>
      </c>
      <c r="P147" s="115"/>
      <c r="Q147" s="116"/>
      <c r="R147" s="116"/>
    </row>
    <row r="148" spans="1:18" s="83" customFormat="1">
      <c r="A148" s="244">
        <f t="shared" si="30"/>
        <v>0</v>
      </c>
      <c r="B148" s="87">
        <f t="shared" ref="B148:I148" si="45">B45</f>
        <v>0</v>
      </c>
      <c r="C148" s="87">
        <f t="shared" si="45"/>
        <v>0</v>
      </c>
      <c r="D148" s="87">
        <f t="shared" si="45"/>
        <v>0</v>
      </c>
      <c r="E148" s="87">
        <f t="shared" si="45"/>
        <v>0</v>
      </c>
      <c r="F148" s="87">
        <f t="shared" si="45"/>
        <v>0</v>
      </c>
      <c r="G148" s="87">
        <f t="shared" si="45"/>
        <v>0</v>
      </c>
      <c r="H148" s="87">
        <f t="shared" si="45"/>
        <v>0</v>
      </c>
      <c r="I148" s="87">
        <f t="shared" si="45"/>
        <v>0</v>
      </c>
      <c r="J148" s="89">
        <f>J45*(1-'Форма ввода (консолид.ДС)'!$C$56)</f>
        <v>0</v>
      </c>
      <c r="K148" s="189">
        <f t="shared" si="19"/>
        <v>0</v>
      </c>
      <c r="L148" s="233">
        <f t="shared" si="31"/>
        <v>0</v>
      </c>
      <c r="M148" s="189">
        <f t="shared" si="20"/>
        <v>0</v>
      </c>
      <c r="N148" s="189">
        <f t="shared" si="21"/>
        <v>0</v>
      </c>
      <c r="O148" s="245">
        <f t="shared" si="32"/>
        <v>0</v>
      </c>
      <c r="P148" s="115"/>
      <c r="Q148" s="116"/>
      <c r="R148" s="116"/>
    </row>
    <row r="149" spans="1:18" s="83" customFormat="1">
      <c r="A149" s="244">
        <f t="shared" si="30"/>
        <v>0</v>
      </c>
      <c r="B149" s="87">
        <f t="shared" ref="B149:I149" si="46">B46</f>
        <v>0</v>
      </c>
      <c r="C149" s="87">
        <f t="shared" si="46"/>
        <v>0</v>
      </c>
      <c r="D149" s="87">
        <f t="shared" si="46"/>
        <v>0</v>
      </c>
      <c r="E149" s="87">
        <f t="shared" si="46"/>
        <v>0</v>
      </c>
      <c r="F149" s="87">
        <f t="shared" si="46"/>
        <v>0</v>
      </c>
      <c r="G149" s="87">
        <f t="shared" si="46"/>
        <v>0</v>
      </c>
      <c r="H149" s="87">
        <f t="shared" si="46"/>
        <v>0</v>
      </c>
      <c r="I149" s="87">
        <f t="shared" si="46"/>
        <v>0</v>
      </c>
      <c r="J149" s="89">
        <f>J46*(1-'Форма ввода (консолид.ДС)'!$C$56)</f>
        <v>0</v>
      </c>
      <c r="K149" s="189">
        <f t="shared" si="19"/>
        <v>0</v>
      </c>
      <c r="L149" s="233">
        <f t="shared" si="31"/>
        <v>0</v>
      </c>
      <c r="M149" s="189">
        <f t="shared" si="20"/>
        <v>0</v>
      </c>
      <c r="N149" s="189">
        <f t="shared" si="21"/>
        <v>0</v>
      </c>
      <c r="O149" s="245">
        <f t="shared" si="32"/>
        <v>0</v>
      </c>
      <c r="P149" s="115"/>
      <c r="Q149" s="116"/>
      <c r="R149" s="116"/>
    </row>
    <row r="150" spans="1:18" s="83" customFormat="1">
      <c r="A150" s="244">
        <f t="shared" si="30"/>
        <v>0</v>
      </c>
      <c r="B150" s="87">
        <f t="shared" ref="B150:I150" si="47">B47</f>
        <v>0</v>
      </c>
      <c r="C150" s="87">
        <f t="shared" si="47"/>
        <v>0</v>
      </c>
      <c r="D150" s="87">
        <f t="shared" si="47"/>
        <v>0</v>
      </c>
      <c r="E150" s="87">
        <f t="shared" si="47"/>
        <v>0</v>
      </c>
      <c r="F150" s="87">
        <f t="shared" si="47"/>
        <v>0</v>
      </c>
      <c r="G150" s="87">
        <f t="shared" si="47"/>
        <v>0</v>
      </c>
      <c r="H150" s="87">
        <f t="shared" si="47"/>
        <v>0</v>
      </c>
      <c r="I150" s="87">
        <f t="shared" si="47"/>
        <v>0</v>
      </c>
      <c r="J150" s="89">
        <f>J47*(1-'Форма ввода (консолид.ДС)'!$C$56)</f>
        <v>0</v>
      </c>
      <c r="K150" s="189">
        <f t="shared" si="19"/>
        <v>0</v>
      </c>
      <c r="L150" s="233">
        <f t="shared" si="31"/>
        <v>0</v>
      </c>
      <c r="M150" s="189">
        <f t="shared" si="20"/>
        <v>0</v>
      </c>
      <c r="N150" s="189">
        <f t="shared" si="21"/>
        <v>0</v>
      </c>
      <c r="O150" s="245">
        <f t="shared" si="32"/>
        <v>0</v>
      </c>
      <c r="P150" s="115"/>
      <c r="Q150" s="116"/>
      <c r="R150" s="116"/>
    </row>
    <row r="151" spans="1:18" s="83" customFormat="1">
      <c r="A151" s="244">
        <f t="shared" si="30"/>
        <v>0</v>
      </c>
      <c r="B151" s="87">
        <f t="shared" ref="B151:I151" si="48">B48</f>
        <v>0</v>
      </c>
      <c r="C151" s="87">
        <f t="shared" si="48"/>
        <v>0</v>
      </c>
      <c r="D151" s="87">
        <f t="shared" si="48"/>
        <v>0</v>
      </c>
      <c r="E151" s="87">
        <f t="shared" si="48"/>
        <v>0</v>
      </c>
      <c r="F151" s="87">
        <f t="shared" si="48"/>
        <v>0</v>
      </c>
      <c r="G151" s="87">
        <f t="shared" si="48"/>
        <v>0</v>
      </c>
      <c r="H151" s="87">
        <f t="shared" si="48"/>
        <v>0</v>
      </c>
      <c r="I151" s="87">
        <f t="shared" si="48"/>
        <v>0</v>
      </c>
      <c r="J151" s="89">
        <f>J48*(1-'Форма ввода (консолид.ДС)'!$C$56)</f>
        <v>0</v>
      </c>
      <c r="K151" s="189">
        <f t="shared" si="19"/>
        <v>0</v>
      </c>
      <c r="L151" s="233">
        <f t="shared" si="31"/>
        <v>0</v>
      </c>
      <c r="M151" s="189">
        <f t="shared" si="20"/>
        <v>0</v>
      </c>
      <c r="N151" s="189">
        <f t="shared" si="21"/>
        <v>0</v>
      </c>
      <c r="O151" s="245">
        <f t="shared" si="32"/>
        <v>0</v>
      </c>
      <c r="P151" s="115"/>
      <c r="Q151" s="116"/>
      <c r="R151" s="116"/>
    </row>
    <row r="152" spans="1:18" s="83" customFormat="1">
      <c r="A152" s="244">
        <f t="shared" si="30"/>
        <v>0</v>
      </c>
      <c r="B152" s="87">
        <f t="shared" ref="B152:I152" si="49">B49</f>
        <v>0</v>
      </c>
      <c r="C152" s="87">
        <f t="shared" si="49"/>
        <v>0</v>
      </c>
      <c r="D152" s="87">
        <f t="shared" si="49"/>
        <v>0</v>
      </c>
      <c r="E152" s="87">
        <f t="shared" si="49"/>
        <v>0</v>
      </c>
      <c r="F152" s="87">
        <f t="shared" si="49"/>
        <v>0</v>
      </c>
      <c r="G152" s="87">
        <f t="shared" si="49"/>
        <v>0</v>
      </c>
      <c r="H152" s="87">
        <f t="shared" si="49"/>
        <v>0</v>
      </c>
      <c r="I152" s="87">
        <f t="shared" si="49"/>
        <v>0</v>
      </c>
      <c r="J152" s="89">
        <f>J49*(1-'Форма ввода (консолид.ДС)'!$C$56)</f>
        <v>0</v>
      </c>
      <c r="K152" s="189">
        <f t="shared" si="19"/>
        <v>0</v>
      </c>
      <c r="L152" s="233">
        <f t="shared" si="31"/>
        <v>0</v>
      </c>
      <c r="M152" s="189">
        <f t="shared" si="20"/>
        <v>0</v>
      </c>
      <c r="N152" s="189">
        <f t="shared" si="21"/>
        <v>0</v>
      </c>
      <c r="O152" s="245">
        <f t="shared" si="32"/>
        <v>0</v>
      </c>
      <c r="P152" s="115"/>
      <c r="Q152" s="116"/>
      <c r="R152" s="116"/>
    </row>
    <row r="153" spans="1:18" s="83" customFormat="1">
      <c r="A153" s="244">
        <f t="shared" si="30"/>
        <v>0</v>
      </c>
      <c r="B153" s="87">
        <f t="shared" ref="B153:I153" si="50">B50</f>
        <v>0</v>
      </c>
      <c r="C153" s="87">
        <f t="shared" si="50"/>
        <v>0</v>
      </c>
      <c r="D153" s="87">
        <f t="shared" si="50"/>
        <v>0</v>
      </c>
      <c r="E153" s="87">
        <f t="shared" si="50"/>
        <v>0</v>
      </c>
      <c r="F153" s="87">
        <f t="shared" si="50"/>
        <v>0</v>
      </c>
      <c r="G153" s="87">
        <f t="shared" si="50"/>
        <v>0</v>
      </c>
      <c r="H153" s="87">
        <f t="shared" si="50"/>
        <v>0</v>
      </c>
      <c r="I153" s="87">
        <f t="shared" si="50"/>
        <v>0</v>
      </c>
      <c r="J153" s="89">
        <f>J50*(1-'Форма ввода (консолид.ДС)'!$C$56)</f>
        <v>0</v>
      </c>
      <c r="K153" s="189">
        <f t="shared" si="19"/>
        <v>0</v>
      </c>
      <c r="L153" s="233">
        <f t="shared" si="31"/>
        <v>0</v>
      </c>
      <c r="M153" s="189">
        <f t="shared" si="20"/>
        <v>0</v>
      </c>
      <c r="N153" s="189">
        <f t="shared" si="21"/>
        <v>0</v>
      </c>
      <c r="O153" s="245">
        <f t="shared" si="32"/>
        <v>0</v>
      </c>
      <c r="P153" s="115"/>
      <c r="Q153" s="116"/>
      <c r="R153" s="116"/>
    </row>
    <row r="154" spans="1:18" s="83" customFormat="1">
      <c r="A154" s="190" t="str">
        <f t="shared" si="30"/>
        <v>ПОДЫТОГ :</v>
      </c>
      <c r="B154" s="236"/>
      <c r="C154" s="236"/>
      <c r="D154" s="236"/>
      <c r="E154" s="236"/>
      <c r="F154" s="236"/>
      <c r="G154" s="236"/>
      <c r="H154" s="236"/>
      <c r="I154" s="236"/>
      <c r="J154" s="246"/>
      <c r="K154" s="191">
        <f>SUM(K144:K153)</f>
        <v>0</v>
      </c>
      <c r="L154" s="247"/>
      <c r="M154" s="191">
        <f>SUM(M144:M153)</f>
        <v>0</v>
      </c>
      <c r="N154" s="191">
        <f>SUM(N144:N153)</f>
        <v>0</v>
      </c>
      <c r="O154" s="248"/>
      <c r="P154" s="115"/>
      <c r="Q154" s="116"/>
      <c r="R154" s="116"/>
    </row>
    <row r="155" spans="1:18" s="83" customFormat="1">
      <c r="A155" s="244">
        <f t="shared" si="30"/>
        <v>0</v>
      </c>
      <c r="B155" s="87">
        <f t="shared" ref="B155:I155" si="51">B52</f>
        <v>0</v>
      </c>
      <c r="C155" s="87">
        <f t="shared" si="51"/>
        <v>0</v>
      </c>
      <c r="D155" s="87">
        <f t="shared" si="51"/>
        <v>0</v>
      </c>
      <c r="E155" s="87">
        <f t="shared" si="51"/>
        <v>0</v>
      </c>
      <c r="F155" s="87">
        <f t="shared" si="51"/>
        <v>0</v>
      </c>
      <c r="G155" s="87">
        <f t="shared" si="51"/>
        <v>0</v>
      </c>
      <c r="H155" s="87">
        <f t="shared" si="51"/>
        <v>0</v>
      </c>
      <c r="I155" s="87">
        <f t="shared" si="51"/>
        <v>0</v>
      </c>
      <c r="J155" s="89">
        <f>J52*(1-'Форма ввода (консолид.ДС)'!$C$56)</f>
        <v>0</v>
      </c>
      <c r="K155" s="189">
        <f t="shared" si="19"/>
        <v>0</v>
      </c>
      <c r="L155" s="233">
        <f t="shared" si="31"/>
        <v>0</v>
      </c>
      <c r="M155" s="189">
        <f t="shared" si="20"/>
        <v>0</v>
      </c>
      <c r="N155" s="189">
        <f t="shared" si="21"/>
        <v>0</v>
      </c>
      <c r="O155" s="245">
        <f t="shared" si="32"/>
        <v>0</v>
      </c>
      <c r="P155" s="115"/>
      <c r="Q155" s="116"/>
      <c r="R155" s="116"/>
    </row>
    <row r="156" spans="1:18" s="83" customFormat="1">
      <c r="A156" s="244">
        <f t="shared" si="30"/>
        <v>0</v>
      </c>
      <c r="B156" s="87">
        <f t="shared" ref="B156:I156" si="52">B53</f>
        <v>0</v>
      </c>
      <c r="C156" s="87">
        <f t="shared" si="52"/>
        <v>0</v>
      </c>
      <c r="D156" s="87">
        <f t="shared" si="52"/>
        <v>0</v>
      </c>
      <c r="E156" s="87">
        <f t="shared" si="52"/>
        <v>0</v>
      </c>
      <c r="F156" s="87">
        <f t="shared" si="52"/>
        <v>0</v>
      </c>
      <c r="G156" s="87">
        <f t="shared" si="52"/>
        <v>0</v>
      </c>
      <c r="H156" s="87">
        <f t="shared" si="52"/>
        <v>0</v>
      </c>
      <c r="I156" s="87">
        <f t="shared" si="52"/>
        <v>0</v>
      </c>
      <c r="J156" s="89">
        <f>J53*(1-'Форма ввода (консолид.ДС)'!$C$56)</f>
        <v>0</v>
      </c>
      <c r="K156" s="189">
        <f t="shared" si="19"/>
        <v>0</v>
      </c>
      <c r="L156" s="233">
        <f t="shared" si="31"/>
        <v>0</v>
      </c>
      <c r="M156" s="189">
        <f t="shared" si="20"/>
        <v>0</v>
      </c>
      <c r="N156" s="189">
        <f t="shared" si="21"/>
        <v>0</v>
      </c>
      <c r="O156" s="245">
        <f t="shared" si="32"/>
        <v>0</v>
      </c>
      <c r="P156" s="115"/>
      <c r="Q156" s="116"/>
      <c r="R156" s="116"/>
    </row>
    <row r="157" spans="1:18" s="83" customFormat="1">
      <c r="A157" s="244">
        <f t="shared" si="30"/>
        <v>0</v>
      </c>
      <c r="B157" s="87">
        <f t="shared" ref="B157:I157" si="53">B54</f>
        <v>0</v>
      </c>
      <c r="C157" s="87">
        <f t="shared" si="53"/>
        <v>0</v>
      </c>
      <c r="D157" s="87">
        <f t="shared" si="53"/>
        <v>0</v>
      </c>
      <c r="E157" s="87">
        <f t="shared" si="53"/>
        <v>0</v>
      </c>
      <c r="F157" s="87">
        <f t="shared" si="53"/>
        <v>0</v>
      </c>
      <c r="G157" s="87">
        <f t="shared" si="53"/>
        <v>0</v>
      </c>
      <c r="H157" s="87">
        <f t="shared" si="53"/>
        <v>0</v>
      </c>
      <c r="I157" s="87">
        <f t="shared" si="53"/>
        <v>0</v>
      </c>
      <c r="J157" s="89">
        <f>J54*(1-'Форма ввода (консолид.ДС)'!$C$56)</f>
        <v>0</v>
      </c>
      <c r="K157" s="189">
        <f t="shared" si="19"/>
        <v>0</v>
      </c>
      <c r="L157" s="233">
        <f t="shared" si="31"/>
        <v>0</v>
      </c>
      <c r="M157" s="189">
        <f t="shared" si="20"/>
        <v>0</v>
      </c>
      <c r="N157" s="189">
        <f t="shared" si="21"/>
        <v>0</v>
      </c>
      <c r="O157" s="245">
        <f t="shared" si="32"/>
        <v>0</v>
      </c>
      <c r="P157" s="115"/>
      <c r="Q157" s="116"/>
      <c r="R157" s="116"/>
    </row>
    <row r="158" spans="1:18" s="83" customFormat="1">
      <c r="A158" s="244">
        <f t="shared" si="30"/>
        <v>0</v>
      </c>
      <c r="B158" s="87">
        <f t="shared" ref="B158:I158" si="54">B55</f>
        <v>0</v>
      </c>
      <c r="C158" s="87">
        <f t="shared" si="54"/>
        <v>0</v>
      </c>
      <c r="D158" s="87">
        <f t="shared" si="54"/>
        <v>0</v>
      </c>
      <c r="E158" s="87">
        <f t="shared" si="54"/>
        <v>0</v>
      </c>
      <c r="F158" s="87">
        <f t="shared" si="54"/>
        <v>0</v>
      </c>
      <c r="G158" s="87">
        <f t="shared" si="54"/>
        <v>0</v>
      </c>
      <c r="H158" s="87">
        <f t="shared" si="54"/>
        <v>0</v>
      </c>
      <c r="I158" s="87">
        <f t="shared" si="54"/>
        <v>0</v>
      </c>
      <c r="J158" s="89">
        <f>J55*(1-'Форма ввода (консолид.ДС)'!$C$56)</f>
        <v>0</v>
      </c>
      <c r="K158" s="189">
        <f t="shared" si="19"/>
        <v>0</v>
      </c>
      <c r="L158" s="233">
        <f t="shared" si="31"/>
        <v>0</v>
      </c>
      <c r="M158" s="189">
        <f t="shared" si="20"/>
        <v>0</v>
      </c>
      <c r="N158" s="189">
        <f t="shared" si="21"/>
        <v>0</v>
      </c>
      <c r="O158" s="245">
        <f t="shared" si="32"/>
        <v>0</v>
      </c>
      <c r="P158" s="115"/>
      <c r="Q158" s="116"/>
      <c r="R158" s="116"/>
    </row>
    <row r="159" spans="1:18" s="83" customFormat="1">
      <c r="A159" s="244">
        <f t="shared" si="30"/>
        <v>0</v>
      </c>
      <c r="B159" s="87">
        <f t="shared" ref="B159:I159" si="55">B56</f>
        <v>0</v>
      </c>
      <c r="C159" s="87">
        <f t="shared" si="55"/>
        <v>0</v>
      </c>
      <c r="D159" s="87">
        <f t="shared" si="55"/>
        <v>0</v>
      </c>
      <c r="E159" s="87">
        <f t="shared" si="55"/>
        <v>0</v>
      </c>
      <c r="F159" s="87">
        <f t="shared" si="55"/>
        <v>0</v>
      </c>
      <c r="G159" s="87">
        <f t="shared" si="55"/>
        <v>0</v>
      </c>
      <c r="H159" s="87">
        <f t="shared" si="55"/>
        <v>0</v>
      </c>
      <c r="I159" s="87">
        <f t="shared" si="55"/>
        <v>0</v>
      </c>
      <c r="J159" s="89">
        <f>J56*(1-'Форма ввода (консолид.ДС)'!$C$56)</f>
        <v>0</v>
      </c>
      <c r="K159" s="189">
        <f t="shared" si="19"/>
        <v>0</v>
      </c>
      <c r="L159" s="233">
        <f t="shared" si="31"/>
        <v>0</v>
      </c>
      <c r="M159" s="189">
        <f t="shared" si="20"/>
        <v>0</v>
      </c>
      <c r="N159" s="189">
        <f t="shared" si="21"/>
        <v>0</v>
      </c>
      <c r="O159" s="245">
        <f t="shared" si="32"/>
        <v>0</v>
      </c>
      <c r="P159" s="115"/>
      <c r="Q159" s="116"/>
      <c r="R159" s="116"/>
    </row>
    <row r="160" spans="1:18" s="83" customFormat="1">
      <c r="A160" s="244">
        <f t="shared" si="30"/>
        <v>0</v>
      </c>
      <c r="B160" s="87">
        <f t="shared" ref="B160:I160" si="56">B57</f>
        <v>0</v>
      </c>
      <c r="C160" s="87">
        <f t="shared" si="56"/>
        <v>0</v>
      </c>
      <c r="D160" s="87">
        <f t="shared" si="56"/>
        <v>0</v>
      </c>
      <c r="E160" s="87">
        <f t="shared" si="56"/>
        <v>0</v>
      </c>
      <c r="F160" s="87">
        <f t="shared" si="56"/>
        <v>0</v>
      </c>
      <c r="G160" s="87">
        <f t="shared" si="56"/>
        <v>0</v>
      </c>
      <c r="H160" s="87">
        <f t="shared" si="56"/>
        <v>0</v>
      </c>
      <c r="I160" s="87">
        <f t="shared" si="56"/>
        <v>0</v>
      </c>
      <c r="J160" s="89">
        <f>J57*(1-'Форма ввода (консолид.ДС)'!$C$56)</f>
        <v>0</v>
      </c>
      <c r="K160" s="189">
        <f t="shared" si="19"/>
        <v>0</v>
      </c>
      <c r="L160" s="233">
        <f t="shared" si="31"/>
        <v>0</v>
      </c>
      <c r="M160" s="189">
        <f t="shared" si="20"/>
        <v>0</v>
      </c>
      <c r="N160" s="189">
        <f t="shared" si="21"/>
        <v>0</v>
      </c>
      <c r="O160" s="245">
        <f t="shared" si="32"/>
        <v>0</v>
      </c>
      <c r="P160" s="115"/>
      <c r="Q160" s="116"/>
      <c r="R160" s="116"/>
    </row>
    <row r="161" spans="1:18" s="83" customFormat="1">
      <c r="A161" s="244">
        <f t="shared" si="30"/>
        <v>0</v>
      </c>
      <c r="B161" s="87">
        <f t="shared" ref="B161:I161" si="57">B58</f>
        <v>0</v>
      </c>
      <c r="C161" s="87">
        <f t="shared" si="57"/>
        <v>0</v>
      </c>
      <c r="D161" s="87">
        <f t="shared" si="57"/>
        <v>0</v>
      </c>
      <c r="E161" s="87">
        <f t="shared" si="57"/>
        <v>0</v>
      </c>
      <c r="F161" s="87">
        <f t="shared" si="57"/>
        <v>0</v>
      </c>
      <c r="G161" s="87">
        <f t="shared" si="57"/>
        <v>0</v>
      </c>
      <c r="H161" s="87">
        <f t="shared" si="57"/>
        <v>0</v>
      </c>
      <c r="I161" s="87">
        <f t="shared" si="57"/>
        <v>0</v>
      </c>
      <c r="J161" s="89">
        <f>J58*(1-'Форма ввода (консолид.ДС)'!$C$56)</f>
        <v>0</v>
      </c>
      <c r="K161" s="189">
        <f t="shared" si="19"/>
        <v>0</v>
      </c>
      <c r="L161" s="233">
        <f t="shared" si="31"/>
        <v>0</v>
      </c>
      <c r="M161" s="189">
        <f t="shared" si="20"/>
        <v>0</v>
      </c>
      <c r="N161" s="189">
        <f t="shared" si="21"/>
        <v>0</v>
      </c>
      <c r="O161" s="245">
        <f t="shared" si="32"/>
        <v>0</v>
      </c>
      <c r="P161" s="115"/>
      <c r="Q161" s="116"/>
      <c r="R161" s="116"/>
    </row>
    <row r="162" spans="1:18" s="83" customFormat="1">
      <c r="A162" s="244">
        <f t="shared" si="30"/>
        <v>0</v>
      </c>
      <c r="B162" s="87">
        <f t="shared" ref="B162:I162" si="58">B59</f>
        <v>0</v>
      </c>
      <c r="C162" s="87">
        <f t="shared" si="58"/>
        <v>0</v>
      </c>
      <c r="D162" s="87">
        <f t="shared" si="58"/>
        <v>0</v>
      </c>
      <c r="E162" s="87">
        <f t="shared" si="58"/>
        <v>0</v>
      </c>
      <c r="F162" s="87">
        <f t="shared" si="58"/>
        <v>0</v>
      </c>
      <c r="G162" s="87">
        <f t="shared" si="58"/>
        <v>0</v>
      </c>
      <c r="H162" s="87">
        <f t="shared" si="58"/>
        <v>0</v>
      </c>
      <c r="I162" s="87">
        <f t="shared" si="58"/>
        <v>0</v>
      </c>
      <c r="J162" s="89">
        <f>J59*(1-'Форма ввода (консолид.ДС)'!$C$56)</f>
        <v>0</v>
      </c>
      <c r="K162" s="189">
        <f t="shared" si="19"/>
        <v>0</v>
      </c>
      <c r="L162" s="233">
        <f t="shared" si="31"/>
        <v>0</v>
      </c>
      <c r="M162" s="189">
        <f t="shared" si="20"/>
        <v>0</v>
      </c>
      <c r="N162" s="189">
        <f t="shared" si="21"/>
        <v>0</v>
      </c>
      <c r="O162" s="245">
        <f t="shared" si="32"/>
        <v>0</v>
      </c>
      <c r="P162" s="115"/>
      <c r="Q162" s="116"/>
      <c r="R162" s="116"/>
    </row>
    <row r="163" spans="1:18" s="83" customFormat="1">
      <c r="A163" s="244">
        <f t="shared" si="30"/>
        <v>0</v>
      </c>
      <c r="B163" s="87">
        <f t="shared" ref="B163:I163" si="59">B60</f>
        <v>0</v>
      </c>
      <c r="C163" s="87">
        <f t="shared" si="59"/>
        <v>0</v>
      </c>
      <c r="D163" s="87">
        <f t="shared" si="59"/>
        <v>0</v>
      </c>
      <c r="E163" s="87">
        <f t="shared" si="59"/>
        <v>0</v>
      </c>
      <c r="F163" s="87">
        <f t="shared" si="59"/>
        <v>0</v>
      </c>
      <c r="G163" s="87">
        <f t="shared" si="59"/>
        <v>0</v>
      </c>
      <c r="H163" s="87">
        <f t="shared" si="59"/>
        <v>0</v>
      </c>
      <c r="I163" s="87">
        <f t="shared" si="59"/>
        <v>0</v>
      </c>
      <c r="J163" s="89">
        <f>J60*(1-'Форма ввода (консолид.ДС)'!$C$56)</f>
        <v>0</v>
      </c>
      <c r="K163" s="189">
        <f t="shared" si="19"/>
        <v>0</v>
      </c>
      <c r="L163" s="233">
        <f t="shared" si="31"/>
        <v>0</v>
      </c>
      <c r="M163" s="189">
        <f t="shared" si="20"/>
        <v>0</v>
      </c>
      <c r="N163" s="189">
        <f t="shared" si="21"/>
        <v>0</v>
      </c>
      <c r="O163" s="245">
        <f t="shared" si="32"/>
        <v>0</v>
      </c>
      <c r="P163" s="115"/>
      <c r="Q163" s="116"/>
      <c r="R163" s="116"/>
    </row>
    <row r="164" spans="1:18" s="83" customFormat="1">
      <c r="A164" s="244">
        <f t="shared" si="30"/>
        <v>0</v>
      </c>
      <c r="B164" s="87">
        <f t="shared" ref="B164:I164" si="60">B61</f>
        <v>0</v>
      </c>
      <c r="C164" s="87">
        <f t="shared" si="60"/>
        <v>0</v>
      </c>
      <c r="D164" s="87">
        <f t="shared" si="60"/>
        <v>0</v>
      </c>
      <c r="E164" s="87">
        <f t="shared" si="60"/>
        <v>0</v>
      </c>
      <c r="F164" s="87">
        <f t="shared" si="60"/>
        <v>0</v>
      </c>
      <c r="G164" s="87">
        <f t="shared" si="60"/>
        <v>0</v>
      </c>
      <c r="H164" s="87">
        <f t="shared" si="60"/>
        <v>0</v>
      </c>
      <c r="I164" s="87">
        <f t="shared" si="60"/>
        <v>0</v>
      </c>
      <c r="J164" s="89">
        <f>J61*(1-'Форма ввода (консолид.ДС)'!$C$56)</f>
        <v>0</v>
      </c>
      <c r="K164" s="189">
        <f t="shared" si="19"/>
        <v>0</v>
      </c>
      <c r="L164" s="233">
        <f t="shared" si="31"/>
        <v>0</v>
      </c>
      <c r="M164" s="189">
        <f t="shared" si="20"/>
        <v>0</v>
      </c>
      <c r="N164" s="189">
        <f t="shared" si="21"/>
        <v>0</v>
      </c>
      <c r="O164" s="245">
        <f t="shared" si="32"/>
        <v>0</v>
      </c>
      <c r="P164" s="115"/>
      <c r="Q164" s="116"/>
      <c r="R164" s="116"/>
    </row>
    <row r="165" spans="1:18" s="83" customFormat="1">
      <c r="A165" s="190" t="str">
        <f t="shared" si="30"/>
        <v>ПОДЫТОГ :</v>
      </c>
      <c r="B165" s="236"/>
      <c r="C165" s="236"/>
      <c r="D165" s="236"/>
      <c r="E165" s="236"/>
      <c r="F165" s="236"/>
      <c r="G165" s="236"/>
      <c r="H165" s="236"/>
      <c r="I165" s="236"/>
      <c r="J165" s="246"/>
      <c r="K165" s="191">
        <f>SUM(K155:K164)</f>
        <v>0</v>
      </c>
      <c r="L165" s="247"/>
      <c r="M165" s="191">
        <f>SUM(M155:M164)</f>
        <v>0</v>
      </c>
      <c r="N165" s="191">
        <f>SUM(N155:N164)</f>
        <v>0</v>
      </c>
      <c r="O165" s="248"/>
      <c r="P165" s="115"/>
      <c r="Q165" s="116"/>
      <c r="R165" s="116"/>
    </row>
    <row r="166" spans="1:18" s="83" customFormat="1">
      <c r="A166" s="244">
        <f t="shared" si="30"/>
        <v>0</v>
      </c>
      <c r="B166" s="87">
        <f t="shared" ref="B166:I166" si="61">B63</f>
        <v>0</v>
      </c>
      <c r="C166" s="87">
        <f t="shared" si="61"/>
        <v>0</v>
      </c>
      <c r="D166" s="87">
        <f t="shared" si="61"/>
        <v>0</v>
      </c>
      <c r="E166" s="87">
        <f t="shared" si="61"/>
        <v>0</v>
      </c>
      <c r="F166" s="87">
        <f t="shared" si="61"/>
        <v>0</v>
      </c>
      <c r="G166" s="87">
        <f t="shared" si="61"/>
        <v>0</v>
      </c>
      <c r="H166" s="87">
        <f t="shared" si="61"/>
        <v>0</v>
      </c>
      <c r="I166" s="87">
        <f t="shared" si="61"/>
        <v>0</v>
      </c>
      <c r="J166" s="89">
        <f>J63*(1-'Форма ввода (консолид.ДС)'!$C$56)</f>
        <v>0</v>
      </c>
      <c r="K166" s="189">
        <f t="shared" si="19"/>
        <v>0</v>
      </c>
      <c r="L166" s="233">
        <f t="shared" si="31"/>
        <v>0</v>
      </c>
      <c r="M166" s="189">
        <f t="shared" si="20"/>
        <v>0</v>
      </c>
      <c r="N166" s="189">
        <f t="shared" si="21"/>
        <v>0</v>
      </c>
      <c r="O166" s="245">
        <f t="shared" si="32"/>
        <v>0</v>
      </c>
      <c r="P166" s="115"/>
      <c r="Q166" s="116"/>
      <c r="R166" s="116"/>
    </row>
    <row r="167" spans="1:18" s="83" customFormat="1">
      <c r="A167" s="244">
        <f t="shared" si="30"/>
        <v>0</v>
      </c>
      <c r="B167" s="87">
        <f t="shared" ref="B167:I167" si="62">B64</f>
        <v>0</v>
      </c>
      <c r="C167" s="87">
        <f t="shared" si="62"/>
        <v>0</v>
      </c>
      <c r="D167" s="87">
        <f t="shared" si="62"/>
        <v>0</v>
      </c>
      <c r="E167" s="87">
        <f t="shared" si="62"/>
        <v>0</v>
      </c>
      <c r="F167" s="87">
        <f t="shared" si="62"/>
        <v>0</v>
      </c>
      <c r="G167" s="87">
        <f t="shared" si="62"/>
        <v>0</v>
      </c>
      <c r="H167" s="87">
        <f t="shared" si="62"/>
        <v>0</v>
      </c>
      <c r="I167" s="87">
        <f t="shared" si="62"/>
        <v>0</v>
      </c>
      <c r="J167" s="89">
        <f>J64*(1-'Форма ввода (консолид.ДС)'!$C$56)</f>
        <v>0</v>
      </c>
      <c r="K167" s="189">
        <f t="shared" si="19"/>
        <v>0</v>
      </c>
      <c r="L167" s="233">
        <f t="shared" si="31"/>
        <v>0</v>
      </c>
      <c r="M167" s="189">
        <f t="shared" si="20"/>
        <v>0</v>
      </c>
      <c r="N167" s="189">
        <f t="shared" si="21"/>
        <v>0</v>
      </c>
      <c r="O167" s="245">
        <f t="shared" si="32"/>
        <v>0</v>
      </c>
      <c r="P167" s="115"/>
      <c r="Q167" s="116"/>
      <c r="R167" s="116"/>
    </row>
    <row r="168" spans="1:18" s="83" customFormat="1">
      <c r="A168" s="244">
        <f t="shared" si="30"/>
        <v>0</v>
      </c>
      <c r="B168" s="87">
        <f t="shared" ref="B168:I168" si="63">B65</f>
        <v>0</v>
      </c>
      <c r="C168" s="87">
        <f t="shared" si="63"/>
        <v>0</v>
      </c>
      <c r="D168" s="87">
        <f t="shared" si="63"/>
        <v>0</v>
      </c>
      <c r="E168" s="87">
        <f t="shared" si="63"/>
        <v>0</v>
      </c>
      <c r="F168" s="87">
        <f t="shared" si="63"/>
        <v>0</v>
      </c>
      <c r="G168" s="87">
        <f t="shared" si="63"/>
        <v>0</v>
      </c>
      <c r="H168" s="87">
        <f t="shared" si="63"/>
        <v>0</v>
      </c>
      <c r="I168" s="87">
        <f t="shared" si="63"/>
        <v>0</v>
      </c>
      <c r="J168" s="89">
        <f>J65*(1-'Форма ввода (консолид.ДС)'!$C$56)</f>
        <v>0</v>
      </c>
      <c r="K168" s="189">
        <f t="shared" si="19"/>
        <v>0</v>
      </c>
      <c r="L168" s="233">
        <f t="shared" si="31"/>
        <v>0</v>
      </c>
      <c r="M168" s="189">
        <f t="shared" si="20"/>
        <v>0</v>
      </c>
      <c r="N168" s="189">
        <f t="shared" si="21"/>
        <v>0</v>
      </c>
      <c r="O168" s="245">
        <f t="shared" si="32"/>
        <v>0</v>
      </c>
      <c r="P168" s="115"/>
      <c r="Q168" s="116"/>
      <c r="R168" s="116"/>
    </row>
    <row r="169" spans="1:18" s="83" customFormat="1">
      <c r="A169" s="244">
        <f t="shared" si="30"/>
        <v>0</v>
      </c>
      <c r="B169" s="87">
        <f t="shared" ref="B169:I169" si="64">B66</f>
        <v>0</v>
      </c>
      <c r="C169" s="87">
        <f t="shared" si="64"/>
        <v>0</v>
      </c>
      <c r="D169" s="87">
        <f t="shared" si="64"/>
        <v>0</v>
      </c>
      <c r="E169" s="87">
        <f t="shared" si="64"/>
        <v>0</v>
      </c>
      <c r="F169" s="87">
        <f t="shared" si="64"/>
        <v>0</v>
      </c>
      <c r="G169" s="87">
        <f t="shared" si="64"/>
        <v>0</v>
      </c>
      <c r="H169" s="87">
        <f t="shared" si="64"/>
        <v>0</v>
      </c>
      <c r="I169" s="87">
        <f t="shared" si="64"/>
        <v>0</v>
      </c>
      <c r="J169" s="89">
        <f>J66*(1-'Форма ввода (консолид.ДС)'!$C$56)</f>
        <v>0</v>
      </c>
      <c r="K169" s="189">
        <f t="shared" si="19"/>
        <v>0</v>
      </c>
      <c r="L169" s="233">
        <f t="shared" si="31"/>
        <v>0</v>
      </c>
      <c r="M169" s="189">
        <f t="shared" si="20"/>
        <v>0</v>
      </c>
      <c r="N169" s="189">
        <f t="shared" si="21"/>
        <v>0</v>
      </c>
      <c r="O169" s="245">
        <f t="shared" si="32"/>
        <v>0</v>
      </c>
      <c r="P169" s="115"/>
      <c r="Q169" s="116"/>
      <c r="R169" s="116"/>
    </row>
    <row r="170" spans="1:18" s="83" customFormat="1">
      <c r="A170" s="244">
        <f t="shared" si="30"/>
        <v>0</v>
      </c>
      <c r="B170" s="87">
        <f t="shared" ref="B170:I170" si="65">B67</f>
        <v>0</v>
      </c>
      <c r="C170" s="87">
        <f t="shared" si="65"/>
        <v>0</v>
      </c>
      <c r="D170" s="87">
        <f t="shared" si="65"/>
        <v>0</v>
      </c>
      <c r="E170" s="87">
        <f t="shared" si="65"/>
        <v>0</v>
      </c>
      <c r="F170" s="87">
        <f t="shared" si="65"/>
        <v>0</v>
      </c>
      <c r="G170" s="87">
        <f t="shared" si="65"/>
        <v>0</v>
      </c>
      <c r="H170" s="87">
        <f t="shared" si="65"/>
        <v>0</v>
      </c>
      <c r="I170" s="87">
        <f t="shared" si="65"/>
        <v>0</v>
      </c>
      <c r="J170" s="89">
        <f>J67*(1-'Форма ввода (консолид.ДС)'!$C$56)</f>
        <v>0</v>
      </c>
      <c r="K170" s="189">
        <f t="shared" si="19"/>
        <v>0</v>
      </c>
      <c r="L170" s="233">
        <f t="shared" si="31"/>
        <v>0</v>
      </c>
      <c r="M170" s="189">
        <f t="shared" si="20"/>
        <v>0</v>
      </c>
      <c r="N170" s="189">
        <f t="shared" si="21"/>
        <v>0</v>
      </c>
      <c r="O170" s="245">
        <f t="shared" si="32"/>
        <v>0</v>
      </c>
      <c r="P170" s="115"/>
      <c r="Q170" s="116"/>
      <c r="R170" s="116"/>
    </row>
    <row r="171" spans="1:18" s="83" customFormat="1">
      <c r="A171" s="244">
        <f t="shared" si="30"/>
        <v>0</v>
      </c>
      <c r="B171" s="87">
        <f t="shared" ref="B171:I171" si="66">B68</f>
        <v>0</v>
      </c>
      <c r="C171" s="87">
        <f t="shared" si="66"/>
        <v>0</v>
      </c>
      <c r="D171" s="87">
        <f t="shared" si="66"/>
        <v>0</v>
      </c>
      <c r="E171" s="87">
        <f t="shared" si="66"/>
        <v>0</v>
      </c>
      <c r="F171" s="87">
        <f t="shared" si="66"/>
        <v>0</v>
      </c>
      <c r="G171" s="87">
        <f t="shared" si="66"/>
        <v>0</v>
      </c>
      <c r="H171" s="87">
        <f t="shared" si="66"/>
        <v>0</v>
      </c>
      <c r="I171" s="87">
        <f t="shared" si="66"/>
        <v>0</v>
      </c>
      <c r="J171" s="89">
        <f>J68*(1-'Форма ввода (консолид.ДС)'!$C$56)</f>
        <v>0</v>
      </c>
      <c r="K171" s="189">
        <f t="shared" si="19"/>
        <v>0</v>
      </c>
      <c r="L171" s="233">
        <f t="shared" si="31"/>
        <v>0</v>
      </c>
      <c r="M171" s="189">
        <f t="shared" si="20"/>
        <v>0</v>
      </c>
      <c r="N171" s="189">
        <f t="shared" si="21"/>
        <v>0</v>
      </c>
      <c r="O171" s="245">
        <f t="shared" si="32"/>
        <v>0</v>
      </c>
      <c r="P171" s="115"/>
      <c r="Q171" s="116"/>
      <c r="R171" s="116"/>
    </row>
    <row r="172" spans="1:18" s="83" customFormat="1">
      <c r="A172" s="244">
        <f t="shared" si="30"/>
        <v>0</v>
      </c>
      <c r="B172" s="87">
        <f t="shared" ref="B172:I172" si="67">B69</f>
        <v>0</v>
      </c>
      <c r="C172" s="87">
        <f t="shared" si="67"/>
        <v>0</v>
      </c>
      <c r="D172" s="87">
        <f t="shared" si="67"/>
        <v>0</v>
      </c>
      <c r="E172" s="87">
        <f t="shared" si="67"/>
        <v>0</v>
      </c>
      <c r="F172" s="87">
        <f t="shared" si="67"/>
        <v>0</v>
      </c>
      <c r="G172" s="87">
        <f t="shared" si="67"/>
        <v>0</v>
      </c>
      <c r="H172" s="87">
        <f t="shared" si="67"/>
        <v>0</v>
      </c>
      <c r="I172" s="87">
        <f t="shared" si="67"/>
        <v>0</v>
      </c>
      <c r="J172" s="89">
        <f>J69*(1-'Форма ввода (консолид.ДС)'!$C$56)</f>
        <v>0</v>
      </c>
      <c r="K172" s="189">
        <f t="shared" si="19"/>
        <v>0</v>
      </c>
      <c r="L172" s="233">
        <f t="shared" si="31"/>
        <v>0</v>
      </c>
      <c r="M172" s="189">
        <f t="shared" si="20"/>
        <v>0</v>
      </c>
      <c r="N172" s="189">
        <f t="shared" si="21"/>
        <v>0</v>
      </c>
      <c r="O172" s="245">
        <f t="shared" si="32"/>
        <v>0</v>
      </c>
      <c r="P172" s="115"/>
      <c r="Q172" s="116"/>
      <c r="R172" s="116"/>
    </row>
    <row r="173" spans="1:18" s="83" customFormat="1">
      <c r="A173" s="244">
        <f t="shared" si="30"/>
        <v>0</v>
      </c>
      <c r="B173" s="87">
        <f t="shared" ref="B173:I173" si="68">B70</f>
        <v>0</v>
      </c>
      <c r="C173" s="87">
        <f t="shared" si="68"/>
        <v>0</v>
      </c>
      <c r="D173" s="87">
        <f t="shared" si="68"/>
        <v>0</v>
      </c>
      <c r="E173" s="87">
        <f t="shared" si="68"/>
        <v>0</v>
      </c>
      <c r="F173" s="87">
        <f t="shared" si="68"/>
        <v>0</v>
      </c>
      <c r="G173" s="87">
        <f t="shared" si="68"/>
        <v>0</v>
      </c>
      <c r="H173" s="87">
        <f t="shared" si="68"/>
        <v>0</v>
      </c>
      <c r="I173" s="87">
        <f t="shared" si="68"/>
        <v>0</v>
      </c>
      <c r="J173" s="89">
        <f>J70*(1-'Форма ввода (консолид.ДС)'!$C$56)</f>
        <v>0</v>
      </c>
      <c r="K173" s="189">
        <f t="shared" si="19"/>
        <v>0</v>
      </c>
      <c r="L173" s="233">
        <f t="shared" si="31"/>
        <v>0</v>
      </c>
      <c r="M173" s="189">
        <f t="shared" si="20"/>
        <v>0</v>
      </c>
      <c r="N173" s="189">
        <f t="shared" si="21"/>
        <v>0</v>
      </c>
      <c r="O173" s="245">
        <f t="shared" si="32"/>
        <v>0</v>
      </c>
      <c r="P173" s="115"/>
      <c r="Q173" s="116"/>
      <c r="R173" s="116"/>
    </row>
    <row r="174" spans="1:18" s="83" customFormat="1">
      <c r="A174" s="244">
        <f t="shared" si="30"/>
        <v>0</v>
      </c>
      <c r="B174" s="87">
        <f t="shared" ref="B174:I174" si="69">B71</f>
        <v>0</v>
      </c>
      <c r="C174" s="87">
        <f t="shared" si="69"/>
        <v>0</v>
      </c>
      <c r="D174" s="87">
        <f t="shared" si="69"/>
        <v>0</v>
      </c>
      <c r="E174" s="87">
        <f t="shared" si="69"/>
        <v>0</v>
      </c>
      <c r="F174" s="87">
        <f t="shared" si="69"/>
        <v>0</v>
      </c>
      <c r="G174" s="87">
        <f t="shared" si="69"/>
        <v>0</v>
      </c>
      <c r="H174" s="87">
        <f t="shared" si="69"/>
        <v>0</v>
      </c>
      <c r="I174" s="87">
        <f t="shared" si="69"/>
        <v>0</v>
      </c>
      <c r="J174" s="89">
        <f>J71*(1-'Форма ввода (консолид.ДС)'!$C$56)</f>
        <v>0</v>
      </c>
      <c r="K174" s="189">
        <f t="shared" si="19"/>
        <v>0</v>
      </c>
      <c r="L174" s="233">
        <f t="shared" si="31"/>
        <v>0</v>
      </c>
      <c r="M174" s="189">
        <f t="shared" si="20"/>
        <v>0</v>
      </c>
      <c r="N174" s="189">
        <f t="shared" si="21"/>
        <v>0</v>
      </c>
      <c r="O174" s="245">
        <f t="shared" si="32"/>
        <v>0</v>
      </c>
      <c r="P174" s="115"/>
      <c r="Q174" s="116"/>
      <c r="R174" s="116"/>
    </row>
    <row r="175" spans="1:18" s="83" customFormat="1">
      <c r="A175" s="244">
        <f t="shared" si="30"/>
        <v>0</v>
      </c>
      <c r="B175" s="87">
        <f t="shared" ref="B175:I175" si="70">B72</f>
        <v>0</v>
      </c>
      <c r="C175" s="87">
        <f t="shared" si="70"/>
        <v>0</v>
      </c>
      <c r="D175" s="87">
        <f t="shared" si="70"/>
        <v>0</v>
      </c>
      <c r="E175" s="87">
        <f t="shared" si="70"/>
        <v>0</v>
      </c>
      <c r="F175" s="87">
        <f t="shared" si="70"/>
        <v>0</v>
      </c>
      <c r="G175" s="87">
        <f t="shared" si="70"/>
        <v>0</v>
      </c>
      <c r="H175" s="87">
        <f t="shared" si="70"/>
        <v>0</v>
      </c>
      <c r="I175" s="87">
        <f t="shared" si="70"/>
        <v>0</v>
      </c>
      <c r="J175" s="89">
        <f>J72*(1-'Форма ввода (консолид.ДС)'!$C$56)</f>
        <v>0</v>
      </c>
      <c r="K175" s="189">
        <f t="shared" si="19"/>
        <v>0</v>
      </c>
      <c r="L175" s="233">
        <f t="shared" si="31"/>
        <v>0</v>
      </c>
      <c r="M175" s="189">
        <f t="shared" si="20"/>
        <v>0</v>
      </c>
      <c r="N175" s="189">
        <f t="shared" si="21"/>
        <v>0</v>
      </c>
      <c r="O175" s="245">
        <f t="shared" si="32"/>
        <v>0</v>
      </c>
      <c r="P175" s="115"/>
      <c r="Q175" s="116"/>
      <c r="R175" s="116"/>
    </row>
    <row r="176" spans="1:18" s="83" customFormat="1">
      <c r="A176" s="190" t="str">
        <f t="shared" ref="A176:I187" si="71">A73</f>
        <v>ПОДЫТОГ :</v>
      </c>
      <c r="B176" s="236"/>
      <c r="C176" s="236"/>
      <c r="D176" s="236"/>
      <c r="E176" s="236"/>
      <c r="F176" s="236"/>
      <c r="G176" s="236"/>
      <c r="H176" s="236"/>
      <c r="I176" s="236"/>
      <c r="J176" s="246"/>
      <c r="K176" s="191">
        <f>SUM(K166:K175)</f>
        <v>0</v>
      </c>
      <c r="L176" s="247"/>
      <c r="M176" s="191">
        <f>SUM(M166:M175)</f>
        <v>0</v>
      </c>
      <c r="N176" s="191">
        <f>SUM(N166:N175)</f>
        <v>0</v>
      </c>
      <c r="O176" s="248"/>
      <c r="P176" s="115"/>
      <c r="Q176" s="116"/>
      <c r="R176" s="116"/>
    </row>
    <row r="177" spans="1:18" s="83" customFormat="1">
      <c r="A177" s="244">
        <f t="shared" si="71"/>
        <v>0</v>
      </c>
      <c r="B177" s="87">
        <f t="shared" si="71"/>
        <v>0</v>
      </c>
      <c r="C177" s="87">
        <f t="shared" si="71"/>
        <v>0</v>
      </c>
      <c r="D177" s="87">
        <f t="shared" si="71"/>
        <v>0</v>
      </c>
      <c r="E177" s="87">
        <f t="shared" si="71"/>
        <v>0</v>
      </c>
      <c r="F177" s="87">
        <f t="shared" si="71"/>
        <v>0</v>
      </c>
      <c r="G177" s="87">
        <f t="shared" si="71"/>
        <v>0</v>
      </c>
      <c r="H177" s="87">
        <f t="shared" si="71"/>
        <v>0</v>
      </c>
      <c r="I177" s="87">
        <f t="shared" si="71"/>
        <v>0</v>
      </c>
      <c r="J177" s="89">
        <f>J74*(1-'Форма ввода (консолид.ДС)'!$C$56)</f>
        <v>0</v>
      </c>
      <c r="K177" s="189">
        <f t="shared" ref="K177:K186" si="72">ROUND(I177*J177,2)</f>
        <v>0</v>
      </c>
      <c r="L177" s="233">
        <f t="shared" ref="L177:L186" si="73">L74</f>
        <v>0</v>
      </c>
      <c r="M177" s="189">
        <f t="shared" ref="M177:M186" si="74">IF(L177="Без НДС",0,ROUND(K177*L177,2))</f>
        <v>0</v>
      </c>
      <c r="N177" s="189">
        <f t="shared" ref="N177:N186" si="75">M177+K177</f>
        <v>0</v>
      </c>
      <c r="O177" s="245">
        <f t="shared" ref="O177:O186" si="76">O74</f>
        <v>0</v>
      </c>
      <c r="P177" s="115"/>
      <c r="Q177" s="116"/>
      <c r="R177" s="116"/>
    </row>
    <row r="178" spans="1:18" s="83" customFormat="1">
      <c r="A178" s="244">
        <f t="shared" si="71"/>
        <v>0</v>
      </c>
      <c r="B178" s="87">
        <f t="shared" si="71"/>
        <v>0</v>
      </c>
      <c r="C178" s="87">
        <f t="shared" si="71"/>
        <v>0</v>
      </c>
      <c r="D178" s="87">
        <f t="shared" si="71"/>
        <v>0</v>
      </c>
      <c r="E178" s="87">
        <f t="shared" si="71"/>
        <v>0</v>
      </c>
      <c r="F178" s="87">
        <f t="shared" si="71"/>
        <v>0</v>
      </c>
      <c r="G178" s="87">
        <f t="shared" si="71"/>
        <v>0</v>
      </c>
      <c r="H178" s="87">
        <f t="shared" si="71"/>
        <v>0</v>
      </c>
      <c r="I178" s="87">
        <f t="shared" si="71"/>
        <v>0</v>
      </c>
      <c r="J178" s="89">
        <f>J75*(1-'Форма ввода (консолид.ДС)'!$C$56)</f>
        <v>0</v>
      </c>
      <c r="K178" s="189">
        <f t="shared" si="72"/>
        <v>0</v>
      </c>
      <c r="L178" s="233">
        <f t="shared" si="73"/>
        <v>0</v>
      </c>
      <c r="M178" s="189">
        <f t="shared" si="74"/>
        <v>0</v>
      </c>
      <c r="N178" s="189">
        <f t="shared" si="75"/>
        <v>0</v>
      </c>
      <c r="O178" s="245">
        <f t="shared" si="76"/>
        <v>0</v>
      </c>
      <c r="P178" s="115"/>
      <c r="Q178" s="116"/>
      <c r="R178" s="116"/>
    </row>
    <row r="179" spans="1:18" s="83" customFormat="1">
      <c r="A179" s="244">
        <f t="shared" si="71"/>
        <v>0</v>
      </c>
      <c r="B179" s="87">
        <f t="shared" si="71"/>
        <v>0</v>
      </c>
      <c r="C179" s="87">
        <f t="shared" si="71"/>
        <v>0</v>
      </c>
      <c r="D179" s="87">
        <f t="shared" si="71"/>
        <v>0</v>
      </c>
      <c r="E179" s="87">
        <f t="shared" si="71"/>
        <v>0</v>
      </c>
      <c r="F179" s="87">
        <f t="shared" si="71"/>
        <v>0</v>
      </c>
      <c r="G179" s="87">
        <f t="shared" si="71"/>
        <v>0</v>
      </c>
      <c r="H179" s="87">
        <f t="shared" si="71"/>
        <v>0</v>
      </c>
      <c r="I179" s="87">
        <f t="shared" si="71"/>
        <v>0</v>
      </c>
      <c r="J179" s="89">
        <f>J76*(1-'Форма ввода (консолид.ДС)'!$C$56)</f>
        <v>0</v>
      </c>
      <c r="K179" s="189">
        <f t="shared" si="72"/>
        <v>0</v>
      </c>
      <c r="L179" s="233">
        <f t="shared" si="73"/>
        <v>0</v>
      </c>
      <c r="M179" s="189">
        <f t="shared" si="74"/>
        <v>0</v>
      </c>
      <c r="N179" s="189">
        <f t="shared" si="75"/>
        <v>0</v>
      </c>
      <c r="O179" s="245">
        <f t="shared" si="76"/>
        <v>0</v>
      </c>
      <c r="P179" s="115"/>
      <c r="Q179" s="116"/>
      <c r="R179" s="116"/>
    </row>
    <row r="180" spans="1:18" s="83" customFormat="1">
      <c r="A180" s="244">
        <f t="shared" si="71"/>
        <v>0</v>
      </c>
      <c r="B180" s="87">
        <f t="shared" si="71"/>
        <v>0</v>
      </c>
      <c r="C180" s="87">
        <f t="shared" si="71"/>
        <v>0</v>
      </c>
      <c r="D180" s="87">
        <f t="shared" si="71"/>
        <v>0</v>
      </c>
      <c r="E180" s="87">
        <f t="shared" si="71"/>
        <v>0</v>
      </c>
      <c r="F180" s="87">
        <f t="shared" si="71"/>
        <v>0</v>
      </c>
      <c r="G180" s="87">
        <f t="shared" si="71"/>
        <v>0</v>
      </c>
      <c r="H180" s="87">
        <f t="shared" si="71"/>
        <v>0</v>
      </c>
      <c r="I180" s="87">
        <f t="shared" si="71"/>
        <v>0</v>
      </c>
      <c r="J180" s="89">
        <f>J77*(1-'Форма ввода (консолид.ДС)'!$C$56)</f>
        <v>0</v>
      </c>
      <c r="K180" s="189">
        <f t="shared" si="72"/>
        <v>0</v>
      </c>
      <c r="L180" s="233">
        <f t="shared" si="73"/>
        <v>0</v>
      </c>
      <c r="M180" s="189">
        <f t="shared" si="74"/>
        <v>0</v>
      </c>
      <c r="N180" s="189">
        <f t="shared" si="75"/>
        <v>0</v>
      </c>
      <c r="O180" s="245">
        <f t="shared" si="76"/>
        <v>0</v>
      </c>
      <c r="P180" s="115"/>
      <c r="Q180" s="116"/>
      <c r="R180" s="116"/>
    </row>
    <row r="181" spans="1:18" s="83" customFormat="1">
      <c r="A181" s="244">
        <f t="shared" si="71"/>
        <v>0</v>
      </c>
      <c r="B181" s="87">
        <f t="shared" si="71"/>
        <v>0</v>
      </c>
      <c r="C181" s="87">
        <f t="shared" si="71"/>
        <v>0</v>
      </c>
      <c r="D181" s="87">
        <f t="shared" si="71"/>
        <v>0</v>
      </c>
      <c r="E181" s="87">
        <f t="shared" si="71"/>
        <v>0</v>
      </c>
      <c r="F181" s="87">
        <f t="shared" si="71"/>
        <v>0</v>
      </c>
      <c r="G181" s="87">
        <f t="shared" si="71"/>
        <v>0</v>
      </c>
      <c r="H181" s="87">
        <f t="shared" si="71"/>
        <v>0</v>
      </c>
      <c r="I181" s="87">
        <f t="shared" si="71"/>
        <v>0</v>
      </c>
      <c r="J181" s="89">
        <f>J78*(1-'Форма ввода (консолид.ДС)'!$C$56)</f>
        <v>0</v>
      </c>
      <c r="K181" s="189">
        <f t="shared" si="72"/>
        <v>0</v>
      </c>
      <c r="L181" s="233">
        <f t="shared" si="73"/>
        <v>0</v>
      </c>
      <c r="M181" s="189">
        <f t="shared" si="74"/>
        <v>0</v>
      </c>
      <c r="N181" s="189">
        <f t="shared" si="75"/>
        <v>0</v>
      </c>
      <c r="O181" s="245">
        <f t="shared" si="76"/>
        <v>0</v>
      </c>
      <c r="P181" s="115"/>
      <c r="Q181" s="116"/>
      <c r="R181" s="116"/>
    </row>
    <row r="182" spans="1:18" s="83" customFormat="1">
      <c r="A182" s="244">
        <f t="shared" si="71"/>
        <v>0</v>
      </c>
      <c r="B182" s="87">
        <f t="shared" si="71"/>
        <v>0</v>
      </c>
      <c r="C182" s="87">
        <f t="shared" si="71"/>
        <v>0</v>
      </c>
      <c r="D182" s="87">
        <f t="shared" si="71"/>
        <v>0</v>
      </c>
      <c r="E182" s="87">
        <f t="shared" si="71"/>
        <v>0</v>
      </c>
      <c r="F182" s="87">
        <f t="shared" si="71"/>
        <v>0</v>
      </c>
      <c r="G182" s="87">
        <f t="shared" si="71"/>
        <v>0</v>
      </c>
      <c r="H182" s="87">
        <f t="shared" si="71"/>
        <v>0</v>
      </c>
      <c r="I182" s="87">
        <f t="shared" si="71"/>
        <v>0</v>
      </c>
      <c r="J182" s="89">
        <f>J79*(1-'Форма ввода (консолид.ДС)'!$C$56)</f>
        <v>0</v>
      </c>
      <c r="K182" s="189">
        <f t="shared" si="72"/>
        <v>0</v>
      </c>
      <c r="L182" s="233">
        <f t="shared" si="73"/>
        <v>0</v>
      </c>
      <c r="M182" s="189">
        <f t="shared" si="74"/>
        <v>0</v>
      </c>
      <c r="N182" s="189">
        <f t="shared" si="75"/>
        <v>0</v>
      </c>
      <c r="O182" s="245">
        <f t="shared" si="76"/>
        <v>0</v>
      </c>
      <c r="P182" s="115"/>
      <c r="Q182" s="116"/>
      <c r="R182" s="116"/>
    </row>
    <row r="183" spans="1:18" s="83" customFormat="1">
      <c r="A183" s="244">
        <f t="shared" si="71"/>
        <v>0</v>
      </c>
      <c r="B183" s="87">
        <f t="shared" si="71"/>
        <v>0</v>
      </c>
      <c r="C183" s="87">
        <f t="shared" si="71"/>
        <v>0</v>
      </c>
      <c r="D183" s="87">
        <f t="shared" si="71"/>
        <v>0</v>
      </c>
      <c r="E183" s="87">
        <f t="shared" si="71"/>
        <v>0</v>
      </c>
      <c r="F183" s="87">
        <f t="shared" si="71"/>
        <v>0</v>
      </c>
      <c r="G183" s="87">
        <f t="shared" si="71"/>
        <v>0</v>
      </c>
      <c r="H183" s="87">
        <f t="shared" si="71"/>
        <v>0</v>
      </c>
      <c r="I183" s="87">
        <f t="shared" si="71"/>
        <v>0</v>
      </c>
      <c r="J183" s="89">
        <f>J80*(1-'Форма ввода (консолид.ДС)'!$C$56)</f>
        <v>0</v>
      </c>
      <c r="K183" s="189">
        <f t="shared" si="72"/>
        <v>0</v>
      </c>
      <c r="L183" s="233">
        <f t="shared" si="73"/>
        <v>0</v>
      </c>
      <c r="M183" s="189">
        <f t="shared" si="74"/>
        <v>0</v>
      </c>
      <c r="N183" s="189">
        <f t="shared" si="75"/>
        <v>0</v>
      </c>
      <c r="O183" s="245">
        <f t="shared" si="76"/>
        <v>0</v>
      </c>
      <c r="P183" s="115"/>
      <c r="Q183" s="116"/>
      <c r="R183" s="116"/>
    </row>
    <row r="184" spans="1:18" s="83" customFormat="1">
      <c r="A184" s="244">
        <f t="shared" si="71"/>
        <v>0</v>
      </c>
      <c r="B184" s="87">
        <f t="shared" si="71"/>
        <v>0</v>
      </c>
      <c r="C184" s="87">
        <f t="shared" si="71"/>
        <v>0</v>
      </c>
      <c r="D184" s="87">
        <f t="shared" si="71"/>
        <v>0</v>
      </c>
      <c r="E184" s="87">
        <f t="shared" si="71"/>
        <v>0</v>
      </c>
      <c r="F184" s="87">
        <f t="shared" si="71"/>
        <v>0</v>
      </c>
      <c r="G184" s="87">
        <f t="shared" si="71"/>
        <v>0</v>
      </c>
      <c r="H184" s="87">
        <f t="shared" si="71"/>
        <v>0</v>
      </c>
      <c r="I184" s="87">
        <f t="shared" si="71"/>
        <v>0</v>
      </c>
      <c r="J184" s="89">
        <f>J81*(1-'Форма ввода (консолид.ДС)'!$C$56)</f>
        <v>0</v>
      </c>
      <c r="K184" s="189">
        <f t="shared" si="72"/>
        <v>0</v>
      </c>
      <c r="L184" s="233">
        <f t="shared" si="73"/>
        <v>0</v>
      </c>
      <c r="M184" s="189">
        <f t="shared" si="74"/>
        <v>0</v>
      </c>
      <c r="N184" s="189">
        <f t="shared" si="75"/>
        <v>0</v>
      </c>
      <c r="O184" s="245">
        <f t="shared" si="76"/>
        <v>0</v>
      </c>
      <c r="P184" s="115"/>
      <c r="Q184" s="116"/>
      <c r="R184" s="116"/>
    </row>
    <row r="185" spans="1:18" s="83" customFormat="1">
      <c r="A185" s="244">
        <f t="shared" si="71"/>
        <v>0</v>
      </c>
      <c r="B185" s="87">
        <f t="shared" si="71"/>
        <v>0</v>
      </c>
      <c r="C185" s="87">
        <f t="shared" si="71"/>
        <v>0</v>
      </c>
      <c r="D185" s="87">
        <f t="shared" si="71"/>
        <v>0</v>
      </c>
      <c r="E185" s="87">
        <f t="shared" si="71"/>
        <v>0</v>
      </c>
      <c r="F185" s="87">
        <f t="shared" si="71"/>
        <v>0</v>
      </c>
      <c r="G185" s="87">
        <f t="shared" si="71"/>
        <v>0</v>
      </c>
      <c r="H185" s="87">
        <f t="shared" si="71"/>
        <v>0</v>
      </c>
      <c r="I185" s="87">
        <f t="shared" si="71"/>
        <v>0</v>
      </c>
      <c r="J185" s="89">
        <f>J82*(1-'Форма ввода (консолид.ДС)'!$C$56)</f>
        <v>0</v>
      </c>
      <c r="K185" s="189">
        <f t="shared" si="72"/>
        <v>0</v>
      </c>
      <c r="L185" s="233">
        <f t="shared" si="73"/>
        <v>0</v>
      </c>
      <c r="M185" s="189">
        <f t="shared" si="74"/>
        <v>0</v>
      </c>
      <c r="N185" s="189">
        <f t="shared" si="75"/>
        <v>0</v>
      </c>
      <c r="O185" s="245">
        <f t="shared" si="76"/>
        <v>0</v>
      </c>
      <c r="P185" s="115"/>
      <c r="Q185" s="116"/>
      <c r="R185" s="116"/>
    </row>
    <row r="186" spans="1:18" s="83" customFormat="1">
      <c r="A186" s="244">
        <f t="shared" si="71"/>
        <v>0</v>
      </c>
      <c r="B186" s="87">
        <f t="shared" si="71"/>
        <v>0</v>
      </c>
      <c r="C186" s="87">
        <f t="shared" si="71"/>
        <v>0</v>
      </c>
      <c r="D186" s="87">
        <f t="shared" si="71"/>
        <v>0</v>
      </c>
      <c r="E186" s="87">
        <f t="shared" si="71"/>
        <v>0</v>
      </c>
      <c r="F186" s="87">
        <f t="shared" si="71"/>
        <v>0</v>
      </c>
      <c r="G186" s="87">
        <f t="shared" si="71"/>
        <v>0</v>
      </c>
      <c r="H186" s="87">
        <f t="shared" si="71"/>
        <v>0</v>
      </c>
      <c r="I186" s="87">
        <f t="shared" si="71"/>
        <v>0</v>
      </c>
      <c r="J186" s="89">
        <f>J83*(1-'Форма ввода (консолид.ДС)'!$C$56)</f>
        <v>0</v>
      </c>
      <c r="K186" s="189">
        <f t="shared" si="72"/>
        <v>0</v>
      </c>
      <c r="L186" s="233">
        <f t="shared" si="73"/>
        <v>0</v>
      </c>
      <c r="M186" s="189">
        <f t="shared" si="74"/>
        <v>0</v>
      </c>
      <c r="N186" s="189">
        <f t="shared" si="75"/>
        <v>0</v>
      </c>
      <c r="O186" s="245">
        <f t="shared" si="76"/>
        <v>0</v>
      </c>
      <c r="P186" s="115"/>
      <c r="Q186" s="116"/>
      <c r="R186" s="116"/>
    </row>
    <row r="187" spans="1:18" s="83" customFormat="1">
      <c r="A187" s="190" t="str">
        <f t="shared" si="71"/>
        <v>ПОДЫТОГ :</v>
      </c>
      <c r="B187" s="236"/>
      <c r="C187" s="236"/>
      <c r="D187" s="236"/>
      <c r="E187" s="236"/>
      <c r="F187" s="236"/>
      <c r="G187" s="236"/>
      <c r="H187" s="236"/>
      <c r="I187" s="236"/>
      <c r="J187" s="246"/>
      <c r="K187" s="191">
        <f>SUM(K177:K186)</f>
        <v>0</v>
      </c>
      <c r="L187" s="247"/>
      <c r="M187" s="191">
        <f>SUM(M177:M186)</f>
        <v>0</v>
      </c>
      <c r="N187" s="191">
        <f>SUM(N177:N186)</f>
        <v>0</v>
      </c>
      <c r="O187" s="248"/>
      <c r="P187" s="115"/>
      <c r="Q187" s="116"/>
      <c r="R187" s="116"/>
    </row>
    <row r="188" spans="1:18" s="83" customFormat="1">
      <c r="A188" s="197"/>
      <c r="B188" s="198"/>
      <c r="C188" s="198"/>
      <c r="D188" s="198"/>
      <c r="E188" s="198"/>
      <c r="F188" s="198"/>
      <c r="G188" s="198"/>
      <c r="H188" s="198"/>
      <c r="I188" s="199"/>
      <c r="J188" s="200"/>
      <c r="K188" s="201"/>
      <c r="L188" s="202"/>
      <c r="M188" s="201"/>
      <c r="N188" s="201"/>
      <c r="O188" s="201"/>
      <c r="P188" s="116"/>
      <c r="Q188" s="116"/>
      <c r="R188" s="116"/>
    </row>
    <row r="189" spans="1:18" s="80" customFormat="1" ht="69" customHeight="1">
      <c r="A189" s="163" t="s">
        <v>39</v>
      </c>
      <c r="B189" s="330" t="s">
        <v>40</v>
      </c>
      <c r="C189" s="330"/>
      <c r="D189" s="330"/>
      <c r="E189" s="330"/>
      <c r="F189" s="330"/>
      <c r="G189" s="330"/>
      <c r="H189" s="330"/>
      <c r="I189" s="330"/>
      <c r="J189" s="330"/>
      <c r="K189" s="330"/>
      <c r="L189" s="330"/>
      <c r="M189" s="330"/>
      <c r="N189" s="330"/>
      <c r="O189" s="330"/>
      <c r="P189" s="330"/>
      <c r="Q189" s="330"/>
      <c r="R189" s="330"/>
    </row>
    <row r="190" spans="1:18" s="83" customFormat="1" ht="101.25" customHeight="1">
      <c r="A190" s="132" t="str">
        <f t="shared" ref="A190:O190" si="77">A7</f>
        <v>№ п/п</v>
      </c>
      <c r="B190" s="132" t="str">
        <f t="shared" si="77"/>
        <v>Наименование Товара Поставщика</v>
      </c>
      <c r="C190" s="132" t="str">
        <f t="shared" si="77"/>
        <v>ГОСТ, ТУ,CAS</v>
      </c>
      <c r="D190" s="132" t="str">
        <f t="shared" si="77"/>
        <v>Наименование Товара для отражения в учетных системах Покупателя</v>
      </c>
      <c r="E190" s="132" t="str">
        <f t="shared" si="77"/>
        <v>Код АСВ НСИ</v>
      </c>
      <c r="F190" s="132" t="str">
        <f t="shared" si="77"/>
        <v>Ед. изм.</v>
      </c>
      <c r="G190" s="132" t="str">
        <f t="shared" si="77"/>
        <v>Производитель</v>
      </c>
      <c r="H190" s="132" t="str">
        <f t="shared" si="77"/>
        <v>Страна происхождения</v>
      </c>
      <c r="I190" s="132" t="str">
        <f t="shared" si="77"/>
        <v>Кол-во</v>
      </c>
      <c r="J190" s="132" t="str">
        <f t="shared" si="77"/>
        <v>Цена за единицу измерения без НДС, (Выпадающий список)</v>
      </c>
      <c r="K190" s="132" t="str">
        <f t="shared" si="77"/>
        <v>Стоимость без учета НДС, (Выпадающий список)</v>
      </c>
      <c r="L190" s="132" t="str">
        <f t="shared" si="77"/>
        <v>Ставка НДС,%</v>
      </c>
      <c r="M190" s="132" t="str">
        <f t="shared" si="77"/>
        <v>Сумма НДС (Выпадающий список)</v>
      </c>
      <c r="N190" s="132" t="str">
        <f t="shared" si="77"/>
        <v>Стоимость с учетом НДС, (Выпадающий список)</v>
      </c>
      <c r="O190" s="132" t="str">
        <f t="shared" si="77"/>
        <v>Покупатель</v>
      </c>
      <c r="P190" s="108"/>
      <c r="Q190" s="109"/>
      <c r="R190" s="109"/>
    </row>
    <row r="191" spans="1:18" s="83" customFormat="1">
      <c r="A191" s="244">
        <f t="shared" ref="A191:I191" si="78">A8</f>
        <v>0</v>
      </c>
      <c r="B191" s="87">
        <f t="shared" si="78"/>
        <v>0</v>
      </c>
      <c r="C191" s="87">
        <f t="shared" si="78"/>
        <v>0</v>
      </c>
      <c r="D191" s="87">
        <f t="shared" si="78"/>
        <v>0</v>
      </c>
      <c r="E191" s="244">
        <f t="shared" si="78"/>
        <v>0</v>
      </c>
      <c r="F191" s="244">
        <f t="shared" si="78"/>
        <v>0</v>
      </c>
      <c r="G191" s="244">
        <f t="shared" si="78"/>
        <v>0</v>
      </c>
      <c r="H191" s="244">
        <f t="shared" si="78"/>
        <v>0</v>
      </c>
      <c r="I191" s="244">
        <f t="shared" si="78"/>
        <v>0</v>
      </c>
      <c r="J191" s="89">
        <f>J8*(1-'Форма ввода (консолид.ДС)'!$C$57)</f>
        <v>0</v>
      </c>
      <c r="K191" s="189">
        <f>ROUND(I191*J191,2)</f>
        <v>0</v>
      </c>
      <c r="L191" s="244">
        <f t="shared" ref="L191:L200" si="79">L8</f>
        <v>0</v>
      </c>
      <c r="M191" s="189">
        <f>IF(L191="Без НДС",0,ROUND(K191*L191,2))</f>
        <v>0</v>
      </c>
      <c r="N191" s="189">
        <f>M191+K191</f>
        <v>0</v>
      </c>
      <c r="O191" s="244">
        <f t="shared" ref="O191:O200" si="80">O8</f>
        <v>0</v>
      </c>
      <c r="P191" s="115"/>
      <c r="Q191" s="116"/>
      <c r="R191" s="116"/>
    </row>
    <row r="192" spans="1:18" s="83" customFormat="1">
      <c r="A192" s="244">
        <f t="shared" ref="A192:I192" si="81">A9</f>
        <v>0</v>
      </c>
      <c r="B192" s="87">
        <f t="shared" si="81"/>
        <v>0</v>
      </c>
      <c r="C192" s="87">
        <f t="shared" si="81"/>
        <v>0</v>
      </c>
      <c r="D192" s="87">
        <f t="shared" si="81"/>
        <v>0</v>
      </c>
      <c r="E192" s="244">
        <f t="shared" si="81"/>
        <v>0</v>
      </c>
      <c r="F192" s="244">
        <f t="shared" si="81"/>
        <v>0</v>
      </c>
      <c r="G192" s="244">
        <f t="shared" si="81"/>
        <v>0</v>
      </c>
      <c r="H192" s="244">
        <f t="shared" si="81"/>
        <v>0</v>
      </c>
      <c r="I192" s="244">
        <f t="shared" si="81"/>
        <v>0</v>
      </c>
      <c r="J192" s="89">
        <f>J9*(1-'Форма ввода (консолид.ДС)'!$C$57)</f>
        <v>0</v>
      </c>
      <c r="K192" s="189">
        <f t="shared" ref="K192:K232" si="82">ROUND(I192*J192,2)</f>
        <v>0</v>
      </c>
      <c r="L192" s="244">
        <f t="shared" si="79"/>
        <v>0</v>
      </c>
      <c r="M192" s="189">
        <f t="shared" ref="M192:M232" si="83">IF(L192="Без НДС",0,ROUND(K192*L192,2))</f>
        <v>0</v>
      </c>
      <c r="N192" s="189">
        <f t="shared" ref="N192:N232" si="84">M192+K192</f>
        <v>0</v>
      </c>
      <c r="O192" s="244">
        <f t="shared" si="80"/>
        <v>0</v>
      </c>
      <c r="P192" s="115"/>
      <c r="Q192" s="116"/>
      <c r="R192" s="116"/>
    </row>
    <row r="193" spans="1:18" s="83" customFormat="1">
      <c r="A193" s="244">
        <f t="shared" ref="A193:I193" si="85">A10</f>
        <v>0</v>
      </c>
      <c r="B193" s="87">
        <f t="shared" si="85"/>
        <v>0</v>
      </c>
      <c r="C193" s="87">
        <f t="shared" si="85"/>
        <v>0</v>
      </c>
      <c r="D193" s="87">
        <f t="shared" si="85"/>
        <v>0</v>
      </c>
      <c r="E193" s="244">
        <f t="shared" si="85"/>
        <v>0</v>
      </c>
      <c r="F193" s="244">
        <f t="shared" si="85"/>
        <v>0</v>
      </c>
      <c r="G193" s="244">
        <f t="shared" si="85"/>
        <v>0</v>
      </c>
      <c r="H193" s="244">
        <f t="shared" si="85"/>
        <v>0</v>
      </c>
      <c r="I193" s="244">
        <f t="shared" si="85"/>
        <v>0</v>
      </c>
      <c r="J193" s="89">
        <f>J10*(1-'Форма ввода (консолид.ДС)'!$C$57)</f>
        <v>0</v>
      </c>
      <c r="K193" s="189">
        <f t="shared" si="82"/>
        <v>0</v>
      </c>
      <c r="L193" s="244">
        <f t="shared" si="79"/>
        <v>0</v>
      </c>
      <c r="M193" s="189">
        <f t="shared" si="83"/>
        <v>0</v>
      </c>
      <c r="N193" s="189">
        <f t="shared" si="84"/>
        <v>0</v>
      </c>
      <c r="O193" s="244">
        <f t="shared" si="80"/>
        <v>0</v>
      </c>
      <c r="P193" s="115"/>
      <c r="Q193" s="116"/>
      <c r="R193" s="116"/>
    </row>
    <row r="194" spans="1:18" s="83" customFormat="1">
      <c r="A194" s="244">
        <f t="shared" ref="A194:I194" si="86">A11</f>
        <v>0</v>
      </c>
      <c r="B194" s="87">
        <f t="shared" si="86"/>
        <v>0</v>
      </c>
      <c r="C194" s="87">
        <f t="shared" si="86"/>
        <v>0</v>
      </c>
      <c r="D194" s="87">
        <f t="shared" si="86"/>
        <v>0</v>
      </c>
      <c r="E194" s="244">
        <f t="shared" si="86"/>
        <v>0</v>
      </c>
      <c r="F194" s="244">
        <f t="shared" si="86"/>
        <v>0</v>
      </c>
      <c r="G194" s="244">
        <f t="shared" si="86"/>
        <v>0</v>
      </c>
      <c r="H194" s="244">
        <f t="shared" si="86"/>
        <v>0</v>
      </c>
      <c r="I194" s="244">
        <f t="shared" si="86"/>
        <v>0</v>
      </c>
      <c r="J194" s="89">
        <f>J11*(1-'Форма ввода (консолид.ДС)'!$C$57)</f>
        <v>0</v>
      </c>
      <c r="K194" s="189">
        <f t="shared" si="82"/>
        <v>0</v>
      </c>
      <c r="L194" s="244">
        <f t="shared" si="79"/>
        <v>0</v>
      </c>
      <c r="M194" s="189">
        <f t="shared" si="83"/>
        <v>0</v>
      </c>
      <c r="N194" s="189">
        <f t="shared" si="84"/>
        <v>0</v>
      </c>
      <c r="O194" s="244">
        <f t="shared" si="80"/>
        <v>0</v>
      </c>
      <c r="P194" s="115"/>
      <c r="Q194" s="116"/>
      <c r="R194" s="116"/>
    </row>
    <row r="195" spans="1:18" s="83" customFormat="1">
      <c r="A195" s="244">
        <f t="shared" ref="A195:I195" si="87">A12</f>
        <v>0</v>
      </c>
      <c r="B195" s="87">
        <f t="shared" si="87"/>
        <v>0</v>
      </c>
      <c r="C195" s="87">
        <f t="shared" si="87"/>
        <v>0</v>
      </c>
      <c r="D195" s="87">
        <f t="shared" si="87"/>
        <v>0</v>
      </c>
      <c r="E195" s="244">
        <f t="shared" si="87"/>
        <v>0</v>
      </c>
      <c r="F195" s="244">
        <f t="shared" si="87"/>
        <v>0</v>
      </c>
      <c r="G195" s="244">
        <f t="shared" si="87"/>
        <v>0</v>
      </c>
      <c r="H195" s="244">
        <f t="shared" si="87"/>
        <v>0</v>
      </c>
      <c r="I195" s="244">
        <f t="shared" si="87"/>
        <v>0</v>
      </c>
      <c r="J195" s="89">
        <f>J12*(1-'Форма ввода (консолид.ДС)'!$C$57)</f>
        <v>0</v>
      </c>
      <c r="K195" s="189">
        <f t="shared" si="82"/>
        <v>0</v>
      </c>
      <c r="L195" s="244">
        <f t="shared" si="79"/>
        <v>0</v>
      </c>
      <c r="M195" s="189">
        <f t="shared" si="83"/>
        <v>0</v>
      </c>
      <c r="N195" s="189">
        <f t="shared" si="84"/>
        <v>0</v>
      </c>
      <c r="O195" s="244">
        <f t="shared" si="80"/>
        <v>0</v>
      </c>
      <c r="P195" s="115"/>
      <c r="Q195" s="116"/>
      <c r="R195" s="116"/>
    </row>
    <row r="196" spans="1:18" s="83" customFormat="1">
      <c r="A196" s="244">
        <f t="shared" ref="A196:I196" si="88">A13</f>
        <v>0</v>
      </c>
      <c r="B196" s="87">
        <f t="shared" si="88"/>
        <v>0</v>
      </c>
      <c r="C196" s="87">
        <f t="shared" si="88"/>
        <v>0</v>
      </c>
      <c r="D196" s="87">
        <f t="shared" si="88"/>
        <v>0</v>
      </c>
      <c r="E196" s="244">
        <f t="shared" si="88"/>
        <v>0</v>
      </c>
      <c r="F196" s="244">
        <f t="shared" si="88"/>
        <v>0</v>
      </c>
      <c r="G196" s="244">
        <f t="shared" si="88"/>
        <v>0</v>
      </c>
      <c r="H196" s="244">
        <f t="shared" si="88"/>
        <v>0</v>
      </c>
      <c r="I196" s="244">
        <f t="shared" si="88"/>
        <v>0</v>
      </c>
      <c r="J196" s="89">
        <f>J13*(1-'Форма ввода (консолид.ДС)'!$C$57)</f>
        <v>0</v>
      </c>
      <c r="K196" s="189">
        <f t="shared" si="82"/>
        <v>0</v>
      </c>
      <c r="L196" s="244">
        <f t="shared" si="79"/>
        <v>0</v>
      </c>
      <c r="M196" s="189">
        <f t="shared" si="83"/>
        <v>0</v>
      </c>
      <c r="N196" s="189">
        <f t="shared" si="84"/>
        <v>0</v>
      </c>
      <c r="O196" s="244">
        <f t="shared" si="80"/>
        <v>0</v>
      </c>
      <c r="P196" s="115"/>
      <c r="Q196" s="116"/>
      <c r="R196" s="116"/>
    </row>
    <row r="197" spans="1:18" s="83" customFormat="1">
      <c r="A197" s="244">
        <f t="shared" ref="A197:I197" si="89">A14</f>
        <v>0</v>
      </c>
      <c r="B197" s="87">
        <f t="shared" si="89"/>
        <v>0</v>
      </c>
      <c r="C197" s="87">
        <f t="shared" si="89"/>
        <v>0</v>
      </c>
      <c r="D197" s="87">
        <f t="shared" si="89"/>
        <v>0</v>
      </c>
      <c r="E197" s="244">
        <f t="shared" si="89"/>
        <v>0</v>
      </c>
      <c r="F197" s="244">
        <f t="shared" si="89"/>
        <v>0</v>
      </c>
      <c r="G197" s="244">
        <f t="shared" si="89"/>
        <v>0</v>
      </c>
      <c r="H197" s="244">
        <f t="shared" si="89"/>
        <v>0</v>
      </c>
      <c r="I197" s="244">
        <f t="shared" si="89"/>
        <v>0</v>
      </c>
      <c r="J197" s="89">
        <f>J14*(1-'Форма ввода (консолид.ДС)'!$C$57)</f>
        <v>0</v>
      </c>
      <c r="K197" s="189">
        <f t="shared" si="82"/>
        <v>0</v>
      </c>
      <c r="L197" s="244">
        <f t="shared" si="79"/>
        <v>0</v>
      </c>
      <c r="M197" s="189">
        <f t="shared" si="83"/>
        <v>0</v>
      </c>
      <c r="N197" s="189">
        <f t="shared" si="84"/>
        <v>0</v>
      </c>
      <c r="O197" s="244">
        <f t="shared" si="80"/>
        <v>0</v>
      </c>
      <c r="P197" s="115"/>
      <c r="Q197" s="116"/>
      <c r="R197" s="116"/>
    </row>
    <row r="198" spans="1:18" s="83" customFormat="1">
      <c r="A198" s="244">
        <f t="shared" ref="A198:I198" si="90">A15</f>
        <v>0</v>
      </c>
      <c r="B198" s="87">
        <f t="shared" si="90"/>
        <v>0</v>
      </c>
      <c r="C198" s="87">
        <f t="shared" si="90"/>
        <v>0</v>
      </c>
      <c r="D198" s="87">
        <f t="shared" si="90"/>
        <v>0</v>
      </c>
      <c r="E198" s="244">
        <f t="shared" si="90"/>
        <v>0</v>
      </c>
      <c r="F198" s="244">
        <f t="shared" si="90"/>
        <v>0</v>
      </c>
      <c r="G198" s="244">
        <f t="shared" si="90"/>
        <v>0</v>
      </c>
      <c r="H198" s="244">
        <f t="shared" si="90"/>
        <v>0</v>
      </c>
      <c r="I198" s="244">
        <f t="shared" si="90"/>
        <v>0</v>
      </c>
      <c r="J198" s="89">
        <f>J15*(1-'Форма ввода (консолид.ДС)'!$C$57)</f>
        <v>0</v>
      </c>
      <c r="K198" s="189">
        <f t="shared" si="82"/>
        <v>0</v>
      </c>
      <c r="L198" s="244">
        <f t="shared" si="79"/>
        <v>0</v>
      </c>
      <c r="M198" s="189">
        <f t="shared" si="83"/>
        <v>0</v>
      </c>
      <c r="N198" s="189">
        <f t="shared" si="84"/>
        <v>0</v>
      </c>
      <c r="O198" s="244">
        <f t="shared" si="80"/>
        <v>0</v>
      </c>
      <c r="P198" s="115"/>
      <c r="Q198" s="116"/>
      <c r="R198" s="116"/>
    </row>
    <row r="199" spans="1:18" s="83" customFormat="1">
      <c r="A199" s="244">
        <f t="shared" ref="A199:I199" si="91">A16</f>
        <v>0</v>
      </c>
      <c r="B199" s="87">
        <f t="shared" si="91"/>
        <v>0</v>
      </c>
      <c r="C199" s="87">
        <f t="shared" si="91"/>
        <v>0</v>
      </c>
      <c r="D199" s="87">
        <f t="shared" si="91"/>
        <v>0</v>
      </c>
      <c r="E199" s="244">
        <f t="shared" si="91"/>
        <v>0</v>
      </c>
      <c r="F199" s="244">
        <f t="shared" si="91"/>
        <v>0</v>
      </c>
      <c r="G199" s="244">
        <f t="shared" si="91"/>
        <v>0</v>
      </c>
      <c r="H199" s="244">
        <f t="shared" si="91"/>
        <v>0</v>
      </c>
      <c r="I199" s="244">
        <f t="shared" si="91"/>
        <v>0</v>
      </c>
      <c r="J199" s="89">
        <f>J16*(1-'Форма ввода (консолид.ДС)'!$C$57)</f>
        <v>0</v>
      </c>
      <c r="K199" s="189">
        <f t="shared" si="82"/>
        <v>0</v>
      </c>
      <c r="L199" s="244">
        <f t="shared" si="79"/>
        <v>0</v>
      </c>
      <c r="M199" s="189">
        <f t="shared" si="83"/>
        <v>0</v>
      </c>
      <c r="N199" s="189">
        <f t="shared" si="84"/>
        <v>0</v>
      </c>
      <c r="O199" s="244">
        <f t="shared" si="80"/>
        <v>0</v>
      </c>
      <c r="P199" s="115"/>
      <c r="Q199" s="116"/>
      <c r="R199" s="116"/>
    </row>
    <row r="200" spans="1:18" s="83" customFormat="1">
      <c r="A200" s="244">
        <f t="shared" ref="A200:I200" si="92">A17</f>
        <v>0</v>
      </c>
      <c r="B200" s="87">
        <f t="shared" si="92"/>
        <v>0</v>
      </c>
      <c r="C200" s="87">
        <f t="shared" si="92"/>
        <v>0</v>
      </c>
      <c r="D200" s="87">
        <f t="shared" si="92"/>
        <v>0</v>
      </c>
      <c r="E200" s="244">
        <f t="shared" si="92"/>
        <v>0</v>
      </c>
      <c r="F200" s="244">
        <f t="shared" si="92"/>
        <v>0</v>
      </c>
      <c r="G200" s="244">
        <f t="shared" si="92"/>
        <v>0</v>
      </c>
      <c r="H200" s="244">
        <f t="shared" si="92"/>
        <v>0</v>
      </c>
      <c r="I200" s="244">
        <f t="shared" si="92"/>
        <v>0</v>
      </c>
      <c r="J200" s="89">
        <f>J17*(1-'Форма ввода (консолид.ДС)'!$C$57)</f>
        <v>0</v>
      </c>
      <c r="K200" s="189">
        <f t="shared" si="82"/>
        <v>0</v>
      </c>
      <c r="L200" s="244">
        <f t="shared" si="79"/>
        <v>0</v>
      </c>
      <c r="M200" s="189">
        <f t="shared" si="83"/>
        <v>0</v>
      </c>
      <c r="N200" s="189">
        <f t="shared" si="84"/>
        <v>0</v>
      </c>
      <c r="O200" s="244">
        <f t="shared" si="80"/>
        <v>0</v>
      </c>
      <c r="P200" s="115"/>
      <c r="Q200" s="116"/>
      <c r="R200" s="116"/>
    </row>
    <row r="201" spans="1:18" s="83" customFormat="1">
      <c r="A201" s="94" t="str">
        <f t="shared" ref="A201" si="93">A18</f>
        <v>ПОДЫТОГ :</v>
      </c>
      <c r="B201" s="236"/>
      <c r="C201" s="236"/>
      <c r="D201" s="236"/>
      <c r="E201" s="249"/>
      <c r="F201" s="249"/>
      <c r="G201" s="249"/>
      <c r="H201" s="249"/>
      <c r="I201" s="249"/>
      <c r="J201" s="246"/>
      <c r="K201" s="191">
        <f>SUM(K191:K200)</f>
        <v>0</v>
      </c>
      <c r="L201" s="250"/>
      <c r="M201" s="191">
        <f>SUM(M191:M200)</f>
        <v>0</v>
      </c>
      <c r="N201" s="191">
        <f>SUM(N191:N200)</f>
        <v>0</v>
      </c>
      <c r="O201" s="250"/>
      <c r="P201" s="115"/>
      <c r="Q201" s="116"/>
      <c r="R201" s="116"/>
    </row>
    <row r="202" spans="1:18" s="83" customFormat="1">
      <c r="A202" s="244">
        <f t="shared" ref="A202:I202" si="94">A19</f>
        <v>0</v>
      </c>
      <c r="B202" s="87">
        <f t="shared" si="94"/>
        <v>0</v>
      </c>
      <c r="C202" s="87">
        <f t="shared" si="94"/>
        <v>0</v>
      </c>
      <c r="D202" s="87">
        <f t="shared" si="94"/>
        <v>0</v>
      </c>
      <c r="E202" s="244">
        <f t="shared" si="94"/>
        <v>0</v>
      </c>
      <c r="F202" s="244">
        <f t="shared" si="94"/>
        <v>0</v>
      </c>
      <c r="G202" s="244">
        <f t="shared" si="94"/>
        <v>0</v>
      </c>
      <c r="H202" s="244">
        <f t="shared" si="94"/>
        <v>0</v>
      </c>
      <c r="I202" s="244">
        <f t="shared" si="94"/>
        <v>0</v>
      </c>
      <c r="J202" s="89">
        <f>J19*(1-'Форма ввода (консолид.ДС)'!$C$57)</f>
        <v>0</v>
      </c>
      <c r="K202" s="189">
        <f t="shared" si="82"/>
        <v>0</v>
      </c>
      <c r="L202" s="244">
        <f t="shared" ref="L202:L254" si="95">L19</f>
        <v>0</v>
      </c>
      <c r="M202" s="189">
        <f t="shared" si="83"/>
        <v>0</v>
      </c>
      <c r="N202" s="189">
        <f t="shared" si="84"/>
        <v>0</v>
      </c>
      <c r="O202" s="244">
        <f t="shared" ref="O202:O254" si="96">O19</f>
        <v>0</v>
      </c>
      <c r="P202" s="115"/>
      <c r="Q202" s="116"/>
      <c r="R202" s="116"/>
    </row>
    <row r="203" spans="1:18" s="83" customFormat="1">
      <c r="A203" s="244">
        <f t="shared" ref="A203:I203" si="97">A20</f>
        <v>0</v>
      </c>
      <c r="B203" s="87">
        <f t="shared" si="97"/>
        <v>0</v>
      </c>
      <c r="C203" s="87">
        <f t="shared" si="97"/>
        <v>0</v>
      </c>
      <c r="D203" s="87">
        <f t="shared" si="97"/>
        <v>0</v>
      </c>
      <c r="E203" s="244">
        <f t="shared" si="97"/>
        <v>0</v>
      </c>
      <c r="F203" s="244">
        <f t="shared" si="97"/>
        <v>0</v>
      </c>
      <c r="G203" s="244">
        <f t="shared" si="97"/>
        <v>0</v>
      </c>
      <c r="H203" s="244">
        <f t="shared" si="97"/>
        <v>0</v>
      </c>
      <c r="I203" s="244">
        <f t="shared" si="97"/>
        <v>0</v>
      </c>
      <c r="J203" s="89">
        <f>J20*(1-'Форма ввода (консолид.ДС)'!$C$57)</f>
        <v>0</v>
      </c>
      <c r="K203" s="189">
        <f t="shared" si="82"/>
        <v>0</v>
      </c>
      <c r="L203" s="244">
        <f t="shared" si="95"/>
        <v>0</v>
      </c>
      <c r="M203" s="189">
        <f t="shared" si="83"/>
        <v>0</v>
      </c>
      <c r="N203" s="189">
        <f t="shared" si="84"/>
        <v>0</v>
      </c>
      <c r="O203" s="244">
        <f t="shared" si="96"/>
        <v>0</v>
      </c>
      <c r="P203" s="115"/>
      <c r="Q203" s="116"/>
      <c r="R203" s="116"/>
    </row>
    <row r="204" spans="1:18" s="83" customFormat="1">
      <c r="A204" s="244">
        <f t="shared" ref="A204:I204" si="98">A21</f>
        <v>0</v>
      </c>
      <c r="B204" s="87">
        <f t="shared" si="98"/>
        <v>0</v>
      </c>
      <c r="C204" s="87">
        <f t="shared" si="98"/>
        <v>0</v>
      </c>
      <c r="D204" s="87">
        <f t="shared" si="98"/>
        <v>0</v>
      </c>
      <c r="E204" s="244">
        <f t="shared" si="98"/>
        <v>0</v>
      </c>
      <c r="F204" s="244">
        <f t="shared" si="98"/>
        <v>0</v>
      </c>
      <c r="G204" s="244">
        <f t="shared" si="98"/>
        <v>0</v>
      </c>
      <c r="H204" s="244">
        <f t="shared" si="98"/>
        <v>0</v>
      </c>
      <c r="I204" s="244">
        <f t="shared" si="98"/>
        <v>0</v>
      </c>
      <c r="J204" s="89">
        <f>J21*(1-'Форма ввода (консолид.ДС)'!$C$57)</f>
        <v>0</v>
      </c>
      <c r="K204" s="189">
        <f t="shared" si="82"/>
        <v>0</v>
      </c>
      <c r="L204" s="244">
        <f t="shared" si="95"/>
        <v>0</v>
      </c>
      <c r="M204" s="189">
        <f t="shared" si="83"/>
        <v>0</v>
      </c>
      <c r="N204" s="189">
        <f t="shared" si="84"/>
        <v>0</v>
      </c>
      <c r="O204" s="244">
        <f t="shared" si="96"/>
        <v>0</v>
      </c>
      <c r="P204" s="115"/>
      <c r="Q204" s="116"/>
      <c r="R204" s="116"/>
    </row>
    <row r="205" spans="1:18" s="83" customFormat="1">
      <c r="A205" s="244">
        <f t="shared" ref="A205:I205" si="99">A22</f>
        <v>0</v>
      </c>
      <c r="B205" s="87">
        <f t="shared" si="99"/>
        <v>0</v>
      </c>
      <c r="C205" s="87">
        <f t="shared" si="99"/>
        <v>0</v>
      </c>
      <c r="D205" s="87">
        <f t="shared" si="99"/>
        <v>0</v>
      </c>
      <c r="E205" s="244">
        <f t="shared" si="99"/>
        <v>0</v>
      </c>
      <c r="F205" s="244">
        <f t="shared" si="99"/>
        <v>0</v>
      </c>
      <c r="G205" s="244">
        <f t="shared" si="99"/>
        <v>0</v>
      </c>
      <c r="H205" s="244">
        <f t="shared" si="99"/>
        <v>0</v>
      </c>
      <c r="I205" s="244">
        <f t="shared" si="99"/>
        <v>0</v>
      </c>
      <c r="J205" s="89">
        <f>J22*(1-'Форма ввода (консолид.ДС)'!$C$57)</f>
        <v>0</v>
      </c>
      <c r="K205" s="189">
        <f t="shared" si="82"/>
        <v>0</v>
      </c>
      <c r="L205" s="244">
        <f t="shared" si="95"/>
        <v>0</v>
      </c>
      <c r="M205" s="189">
        <f t="shared" si="83"/>
        <v>0</v>
      </c>
      <c r="N205" s="189">
        <f t="shared" si="84"/>
        <v>0</v>
      </c>
      <c r="O205" s="244">
        <f t="shared" si="96"/>
        <v>0</v>
      </c>
      <c r="P205" s="115"/>
      <c r="Q205" s="116"/>
      <c r="R205" s="116"/>
    </row>
    <row r="206" spans="1:18" s="83" customFormat="1">
      <c r="A206" s="244">
        <f t="shared" ref="A206:I206" si="100">A23</f>
        <v>0</v>
      </c>
      <c r="B206" s="87">
        <f t="shared" si="100"/>
        <v>0</v>
      </c>
      <c r="C206" s="87">
        <f t="shared" si="100"/>
        <v>0</v>
      </c>
      <c r="D206" s="87">
        <f t="shared" si="100"/>
        <v>0</v>
      </c>
      <c r="E206" s="244">
        <f t="shared" si="100"/>
        <v>0</v>
      </c>
      <c r="F206" s="244">
        <f t="shared" si="100"/>
        <v>0</v>
      </c>
      <c r="G206" s="244">
        <f t="shared" si="100"/>
        <v>0</v>
      </c>
      <c r="H206" s="244">
        <f t="shared" si="100"/>
        <v>0</v>
      </c>
      <c r="I206" s="244">
        <f t="shared" si="100"/>
        <v>0</v>
      </c>
      <c r="J206" s="89">
        <f>J23*(1-'Форма ввода (консолид.ДС)'!$C$57)</f>
        <v>0</v>
      </c>
      <c r="K206" s="189">
        <f t="shared" si="82"/>
        <v>0</v>
      </c>
      <c r="L206" s="244">
        <f t="shared" si="95"/>
        <v>0</v>
      </c>
      <c r="M206" s="189">
        <f t="shared" si="83"/>
        <v>0</v>
      </c>
      <c r="N206" s="189">
        <f t="shared" si="84"/>
        <v>0</v>
      </c>
      <c r="O206" s="244">
        <f t="shared" si="96"/>
        <v>0</v>
      </c>
      <c r="P206" s="115"/>
      <c r="Q206" s="116"/>
      <c r="R206" s="116"/>
    </row>
    <row r="207" spans="1:18" s="83" customFormat="1">
      <c r="A207" s="244">
        <f t="shared" ref="A207:I207" si="101">A24</f>
        <v>0</v>
      </c>
      <c r="B207" s="87">
        <f t="shared" si="101"/>
        <v>0</v>
      </c>
      <c r="C207" s="87">
        <f t="shared" si="101"/>
        <v>0</v>
      </c>
      <c r="D207" s="87">
        <f t="shared" si="101"/>
        <v>0</v>
      </c>
      <c r="E207" s="244">
        <f t="shared" si="101"/>
        <v>0</v>
      </c>
      <c r="F207" s="244">
        <f t="shared" si="101"/>
        <v>0</v>
      </c>
      <c r="G207" s="244">
        <f t="shared" si="101"/>
        <v>0</v>
      </c>
      <c r="H207" s="244">
        <f t="shared" si="101"/>
        <v>0</v>
      </c>
      <c r="I207" s="244">
        <f t="shared" si="101"/>
        <v>0</v>
      </c>
      <c r="J207" s="89">
        <f>J24*(1-'Форма ввода (консолид.ДС)'!$C$57)</f>
        <v>0</v>
      </c>
      <c r="K207" s="189">
        <f t="shared" si="82"/>
        <v>0</v>
      </c>
      <c r="L207" s="244">
        <f t="shared" si="95"/>
        <v>0</v>
      </c>
      <c r="M207" s="189">
        <f t="shared" si="83"/>
        <v>0</v>
      </c>
      <c r="N207" s="189">
        <f t="shared" si="84"/>
        <v>0</v>
      </c>
      <c r="O207" s="244">
        <f t="shared" si="96"/>
        <v>0</v>
      </c>
      <c r="P207" s="115"/>
      <c r="Q207" s="116"/>
      <c r="R207" s="116"/>
    </row>
    <row r="208" spans="1:18" s="83" customFormat="1">
      <c r="A208" s="244">
        <f t="shared" ref="A208:I208" si="102">A25</f>
        <v>0</v>
      </c>
      <c r="B208" s="87">
        <f t="shared" si="102"/>
        <v>0</v>
      </c>
      <c r="C208" s="87">
        <f t="shared" si="102"/>
        <v>0</v>
      </c>
      <c r="D208" s="87">
        <f t="shared" si="102"/>
        <v>0</v>
      </c>
      <c r="E208" s="244">
        <f t="shared" si="102"/>
        <v>0</v>
      </c>
      <c r="F208" s="244">
        <f t="shared" si="102"/>
        <v>0</v>
      </c>
      <c r="G208" s="244">
        <f t="shared" si="102"/>
        <v>0</v>
      </c>
      <c r="H208" s="244">
        <f t="shared" si="102"/>
        <v>0</v>
      </c>
      <c r="I208" s="244">
        <f t="shared" si="102"/>
        <v>0</v>
      </c>
      <c r="J208" s="89">
        <f>J25*(1-'Форма ввода (консолид.ДС)'!$C$57)</f>
        <v>0</v>
      </c>
      <c r="K208" s="189">
        <f t="shared" si="82"/>
        <v>0</v>
      </c>
      <c r="L208" s="244">
        <f t="shared" si="95"/>
        <v>0</v>
      </c>
      <c r="M208" s="189">
        <f t="shared" si="83"/>
        <v>0</v>
      </c>
      <c r="N208" s="189">
        <f t="shared" si="84"/>
        <v>0</v>
      </c>
      <c r="O208" s="244">
        <f t="shared" si="96"/>
        <v>0</v>
      </c>
      <c r="P208" s="115"/>
      <c r="Q208" s="116"/>
      <c r="R208" s="116"/>
    </row>
    <row r="209" spans="1:18" s="83" customFormat="1">
      <c r="A209" s="244">
        <f t="shared" ref="A209:I209" si="103">A26</f>
        <v>0</v>
      </c>
      <c r="B209" s="87">
        <f t="shared" si="103"/>
        <v>0</v>
      </c>
      <c r="C209" s="87">
        <f t="shared" si="103"/>
        <v>0</v>
      </c>
      <c r="D209" s="87">
        <f t="shared" si="103"/>
        <v>0</v>
      </c>
      <c r="E209" s="244">
        <f t="shared" si="103"/>
        <v>0</v>
      </c>
      <c r="F209" s="244">
        <f t="shared" si="103"/>
        <v>0</v>
      </c>
      <c r="G209" s="244">
        <f t="shared" si="103"/>
        <v>0</v>
      </c>
      <c r="H209" s="244">
        <f t="shared" si="103"/>
        <v>0</v>
      </c>
      <c r="I209" s="244">
        <f t="shared" si="103"/>
        <v>0</v>
      </c>
      <c r="J209" s="89">
        <f>J26*(1-'Форма ввода (консолид.ДС)'!$C$57)</f>
        <v>0</v>
      </c>
      <c r="K209" s="189">
        <f t="shared" si="82"/>
        <v>0</v>
      </c>
      <c r="L209" s="244">
        <f t="shared" si="95"/>
        <v>0</v>
      </c>
      <c r="M209" s="189">
        <f t="shared" si="83"/>
        <v>0</v>
      </c>
      <c r="N209" s="189">
        <f t="shared" si="84"/>
        <v>0</v>
      </c>
      <c r="O209" s="244">
        <f t="shared" si="96"/>
        <v>0</v>
      </c>
      <c r="P209" s="115"/>
      <c r="Q209" s="116"/>
      <c r="R209" s="116"/>
    </row>
    <row r="210" spans="1:18" s="83" customFormat="1">
      <c r="A210" s="244">
        <f t="shared" ref="A210:I210" si="104">A27</f>
        <v>0</v>
      </c>
      <c r="B210" s="87">
        <f t="shared" si="104"/>
        <v>0</v>
      </c>
      <c r="C210" s="87">
        <f t="shared" si="104"/>
        <v>0</v>
      </c>
      <c r="D210" s="87">
        <f t="shared" si="104"/>
        <v>0</v>
      </c>
      <c r="E210" s="244">
        <f t="shared" si="104"/>
        <v>0</v>
      </c>
      <c r="F210" s="244">
        <f t="shared" si="104"/>
        <v>0</v>
      </c>
      <c r="G210" s="244">
        <f t="shared" si="104"/>
        <v>0</v>
      </c>
      <c r="H210" s="244">
        <f t="shared" si="104"/>
        <v>0</v>
      </c>
      <c r="I210" s="244">
        <f t="shared" si="104"/>
        <v>0</v>
      </c>
      <c r="J210" s="89">
        <f>J27*(1-'Форма ввода (консолид.ДС)'!$C$57)</f>
        <v>0</v>
      </c>
      <c r="K210" s="189">
        <f t="shared" si="82"/>
        <v>0</v>
      </c>
      <c r="L210" s="244">
        <f t="shared" si="95"/>
        <v>0</v>
      </c>
      <c r="M210" s="189">
        <f t="shared" si="83"/>
        <v>0</v>
      </c>
      <c r="N210" s="189">
        <f t="shared" si="84"/>
        <v>0</v>
      </c>
      <c r="O210" s="244">
        <f t="shared" si="96"/>
        <v>0</v>
      </c>
      <c r="P210" s="115"/>
      <c r="Q210" s="116"/>
      <c r="R210" s="116"/>
    </row>
    <row r="211" spans="1:18" s="83" customFormat="1">
      <c r="A211" s="244">
        <f t="shared" ref="A211:I212" si="105">A28</f>
        <v>0</v>
      </c>
      <c r="B211" s="87">
        <f t="shared" si="105"/>
        <v>0</v>
      </c>
      <c r="C211" s="87">
        <f t="shared" si="105"/>
        <v>0</v>
      </c>
      <c r="D211" s="87">
        <f t="shared" si="105"/>
        <v>0</v>
      </c>
      <c r="E211" s="244">
        <f t="shared" si="105"/>
        <v>0</v>
      </c>
      <c r="F211" s="244">
        <f t="shared" si="105"/>
        <v>0</v>
      </c>
      <c r="G211" s="244">
        <f t="shared" si="105"/>
        <v>0</v>
      </c>
      <c r="H211" s="244">
        <f t="shared" si="105"/>
        <v>0</v>
      </c>
      <c r="I211" s="244">
        <f t="shared" si="105"/>
        <v>0</v>
      </c>
      <c r="J211" s="89">
        <f>J28*(1-'Форма ввода (консолид.ДС)'!$C$57)</f>
        <v>0</v>
      </c>
      <c r="K211" s="189">
        <f t="shared" si="82"/>
        <v>0</v>
      </c>
      <c r="L211" s="244">
        <f t="shared" si="95"/>
        <v>0</v>
      </c>
      <c r="M211" s="189">
        <f t="shared" si="83"/>
        <v>0</v>
      </c>
      <c r="N211" s="189">
        <f t="shared" si="84"/>
        <v>0</v>
      </c>
      <c r="O211" s="244">
        <f t="shared" si="96"/>
        <v>0</v>
      </c>
      <c r="P211" s="115"/>
      <c r="Q211" s="116"/>
      <c r="R211" s="116"/>
    </row>
    <row r="212" spans="1:18" s="83" customFormat="1">
      <c r="A212" s="94" t="str">
        <f t="shared" si="105"/>
        <v>ПОДЫТОГ :</v>
      </c>
      <c r="B212" s="236"/>
      <c r="C212" s="236"/>
      <c r="D212" s="236"/>
      <c r="E212" s="249"/>
      <c r="F212" s="249"/>
      <c r="G212" s="249"/>
      <c r="H212" s="249"/>
      <c r="I212" s="249"/>
      <c r="J212" s="246"/>
      <c r="K212" s="191">
        <f>SUM(K202:K211)</f>
        <v>0</v>
      </c>
      <c r="L212" s="250"/>
      <c r="M212" s="191">
        <f>SUM(M202:M211)</f>
        <v>0</v>
      </c>
      <c r="N212" s="191">
        <f>SUM(N202:N211)</f>
        <v>0</v>
      </c>
      <c r="O212" s="250"/>
      <c r="P212" s="115"/>
      <c r="Q212" s="116"/>
      <c r="R212" s="116"/>
    </row>
    <row r="213" spans="1:18" s="83" customFormat="1">
      <c r="A213" s="244">
        <f t="shared" ref="A213:I213" si="106">A30</f>
        <v>0</v>
      </c>
      <c r="B213" s="87">
        <f t="shared" si="106"/>
        <v>0</v>
      </c>
      <c r="C213" s="87">
        <f t="shared" si="106"/>
        <v>0</v>
      </c>
      <c r="D213" s="87">
        <f t="shared" si="106"/>
        <v>0</v>
      </c>
      <c r="E213" s="244">
        <f t="shared" si="106"/>
        <v>0</v>
      </c>
      <c r="F213" s="244">
        <f t="shared" si="106"/>
        <v>0</v>
      </c>
      <c r="G213" s="244">
        <f t="shared" si="106"/>
        <v>0</v>
      </c>
      <c r="H213" s="244">
        <f t="shared" si="106"/>
        <v>0</v>
      </c>
      <c r="I213" s="244">
        <f t="shared" si="106"/>
        <v>0</v>
      </c>
      <c r="J213" s="89">
        <f>J30*(1-'Форма ввода (консолид.ДС)'!$C$57)</f>
        <v>0</v>
      </c>
      <c r="K213" s="189">
        <f t="shared" si="82"/>
        <v>0</v>
      </c>
      <c r="L213" s="244">
        <f t="shared" si="95"/>
        <v>0</v>
      </c>
      <c r="M213" s="189">
        <f t="shared" si="83"/>
        <v>0</v>
      </c>
      <c r="N213" s="189">
        <f t="shared" si="84"/>
        <v>0</v>
      </c>
      <c r="O213" s="244">
        <f t="shared" si="96"/>
        <v>0</v>
      </c>
      <c r="P213" s="115"/>
      <c r="Q213" s="116"/>
      <c r="R213" s="116"/>
    </row>
    <row r="214" spans="1:18" s="83" customFormat="1">
      <c r="A214" s="244">
        <f t="shared" ref="A214:I214" si="107">A31</f>
        <v>0</v>
      </c>
      <c r="B214" s="87">
        <f t="shared" si="107"/>
        <v>0</v>
      </c>
      <c r="C214" s="87">
        <f t="shared" si="107"/>
        <v>0</v>
      </c>
      <c r="D214" s="87">
        <f t="shared" si="107"/>
        <v>0</v>
      </c>
      <c r="E214" s="244">
        <f t="shared" si="107"/>
        <v>0</v>
      </c>
      <c r="F214" s="244">
        <f t="shared" si="107"/>
        <v>0</v>
      </c>
      <c r="G214" s="244">
        <f t="shared" si="107"/>
        <v>0</v>
      </c>
      <c r="H214" s="244">
        <f t="shared" si="107"/>
        <v>0</v>
      </c>
      <c r="I214" s="244">
        <f t="shared" si="107"/>
        <v>0</v>
      </c>
      <c r="J214" s="89">
        <f>J31*(1-'Форма ввода (консолид.ДС)'!$C$57)</f>
        <v>0</v>
      </c>
      <c r="K214" s="189">
        <f t="shared" si="82"/>
        <v>0</v>
      </c>
      <c r="L214" s="244">
        <f t="shared" si="95"/>
        <v>0</v>
      </c>
      <c r="M214" s="189">
        <f t="shared" si="83"/>
        <v>0</v>
      </c>
      <c r="N214" s="189">
        <f t="shared" si="84"/>
        <v>0</v>
      </c>
      <c r="O214" s="244">
        <f t="shared" si="96"/>
        <v>0</v>
      </c>
      <c r="P214" s="115"/>
      <c r="Q214" s="116"/>
      <c r="R214" s="116"/>
    </row>
    <row r="215" spans="1:18" s="83" customFormat="1">
      <c r="A215" s="244">
        <f t="shared" ref="A215:I215" si="108">A32</f>
        <v>0</v>
      </c>
      <c r="B215" s="87">
        <f t="shared" si="108"/>
        <v>0</v>
      </c>
      <c r="C215" s="87">
        <f t="shared" si="108"/>
        <v>0</v>
      </c>
      <c r="D215" s="87">
        <f t="shared" si="108"/>
        <v>0</v>
      </c>
      <c r="E215" s="244">
        <f t="shared" si="108"/>
        <v>0</v>
      </c>
      <c r="F215" s="244">
        <f t="shared" si="108"/>
        <v>0</v>
      </c>
      <c r="G215" s="244">
        <f t="shared" si="108"/>
        <v>0</v>
      </c>
      <c r="H215" s="244">
        <f t="shared" si="108"/>
        <v>0</v>
      </c>
      <c r="I215" s="244">
        <f t="shared" si="108"/>
        <v>0</v>
      </c>
      <c r="J215" s="89">
        <f>J32*(1-'Форма ввода (консолид.ДС)'!$C$57)</f>
        <v>0</v>
      </c>
      <c r="K215" s="189">
        <f t="shared" si="82"/>
        <v>0</v>
      </c>
      <c r="L215" s="244">
        <f t="shared" si="95"/>
        <v>0</v>
      </c>
      <c r="M215" s="189">
        <f t="shared" si="83"/>
        <v>0</v>
      </c>
      <c r="N215" s="189">
        <f t="shared" si="84"/>
        <v>0</v>
      </c>
      <c r="O215" s="244">
        <f t="shared" si="96"/>
        <v>0</v>
      </c>
      <c r="P215" s="115"/>
      <c r="Q215" s="116"/>
      <c r="R215" s="116"/>
    </row>
    <row r="216" spans="1:18" s="83" customFormat="1">
      <c r="A216" s="244">
        <f t="shared" ref="A216:I216" si="109">A33</f>
        <v>0</v>
      </c>
      <c r="B216" s="87">
        <f t="shared" si="109"/>
        <v>0</v>
      </c>
      <c r="C216" s="87">
        <f t="shared" si="109"/>
        <v>0</v>
      </c>
      <c r="D216" s="87">
        <f t="shared" si="109"/>
        <v>0</v>
      </c>
      <c r="E216" s="244">
        <f t="shared" si="109"/>
        <v>0</v>
      </c>
      <c r="F216" s="244">
        <f t="shared" si="109"/>
        <v>0</v>
      </c>
      <c r="G216" s="244">
        <f t="shared" si="109"/>
        <v>0</v>
      </c>
      <c r="H216" s="244">
        <f t="shared" si="109"/>
        <v>0</v>
      </c>
      <c r="I216" s="244">
        <f t="shared" si="109"/>
        <v>0</v>
      </c>
      <c r="J216" s="89">
        <f>J33*(1-'Форма ввода (консолид.ДС)'!$C$57)</f>
        <v>0</v>
      </c>
      <c r="K216" s="189">
        <f t="shared" si="82"/>
        <v>0</v>
      </c>
      <c r="L216" s="244">
        <f t="shared" si="95"/>
        <v>0</v>
      </c>
      <c r="M216" s="189">
        <f t="shared" si="83"/>
        <v>0</v>
      </c>
      <c r="N216" s="189">
        <f t="shared" si="84"/>
        <v>0</v>
      </c>
      <c r="O216" s="244">
        <f t="shared" si="96"/>
        <v>0</v>
      </c>
      <c r="P216" s="115"/>
      <c r="Q216" s="116"/>
      <c r="R216" s="116"/>
    </row>
    <row r="217" spans="1:18" s="83" customFormat="1">
      <c r="A217" s="244">
        <f t="shared" ref="A217:I217" si="110">A34</f>
        <v>0</v>
      </c>
      <c r="B217" s="87">
        <f t="shared" si="110"/>
        <v>0</v>
      </c>
      <c r="C217" s="87">
        <f t="shared" si="110"/>
        <v>0</v>
      </c>
      <c r="D217" s="87">
        <f t="shared" si="110"/>
        <v>0</v>
      </c>
      <c r="E217" s="244">
        <f t="shared" si="110"/>
        <v>0</v>
      </c>
      <c r="F217" s="244">
        <f t="shared" si="110"/>
        <v>0</v>
      </c>
      <c r="G217" s="244">
        <f t="shared" si="110"/>
        <v>0</v>
      </c>
      <c r="H217" s="244">
        <f t="shared" si="110"/>
        <v>0</v>
      </c>
      <c r="I217" s="244">
        <f t="shared" si="110"/>
        <v>0</v>
      </c>
      <c r="J217" s="89">
        <f>J34*(1-'Форма ввода (консолид.ДС)'!$C$57)</f>
        <v>0</v>
      </c>
      <c r="K217" s="189">
        <f t="shared" si="82"/>
        <v>0</v>
      </c>
      <c r="L217" s="244">
        <f t="shared" si="95"/>
        <v>0</v>
      </c>
      <c r="M217" s="189">
        <f t="shared" si="83"/>
        <v>0</v>
      </c>
      <c r="N217" s="189">
        <f t="shared" si="84"/>
        <v>0</v>
      </c>
      <c r="O217" s="244">
        <f t="shared" si="96"/>
        <v>0</v>
      </c>
      <c r="P217" s="115"/>
      <c r="Q217" s="116"/>
      <c r="R217" s="116"/>
    </row>
    <row r="218" spans="1:18" s="83" customFormat="1">
      <c r="A218" s="244">
        <f t="shared" ref="A218:I218" si="111">A35</f>
        <v>0</v>
      </c>
      <c r="B218" s="87">
        <f t="shared" si="111"/>
        <v>0</v>
      </c>
      <c r="C218" s="87">
        <f t="shared" si="111"/>
        <v>0</v>
      </c>
      <c r="D218" s="87">
        <f t="shared" si="111"/>
        <v>0</v>
      </c>
      <c r="E218" s="244">
        <f t="shared" si="111"/>
        <v>0</v>
      </c>
      <c r="F218" s="244">
        <f t="shared" si="111"/>
        <v>0</v>
      </c>
      <c r="G218" s="244">
        <f t="shared" si="111"/>
        <v>0</v>
      </c>
      <c r="H218" s="244">
        <f t="shared" si="111"/>
        <v>0</v>
      </c>
      <c r="I218" s="244">
        <f t="shared" si="111"/>
        <v>0</v>
      </c>
      <c r="J218" s="89">
        <f>J35*(1-'Форма ввода (консолид.ДС)'!$C$57)</f>
        <v>0</v>
      </c>
      <c r="K218" s="189">
        <f t="shared" si="82"/>
        <v>0</v>
      </c>
      <c r="L218" s="244">
        <f t="shared" si="95"/>
        <v>0</v>
      </c>
      <c r="M218" s="189">
        <f t="shared" si="83"/>
        <v>0</v>
      </c>
      <c r="N218" s="189">
        <f t="shared" si="84"/>
        <v>0</v>
      </c>
      <c r="O218" s="244">
        <f t="shared" si="96"/>
        <v>0</v>
      </c>
      <c r="P218" s="115"/>
      <c r="Q218" s="116"/>
      <c r="R218" s="116"/>
    </row>
    <row r="219" spans="1:18" s="83" customFormat="1">
      <c r="A219" s="244">
        <f t="shared" ref="A219:I219" si="112">A36</f>
        <v>0</v>
      </c>
      <c r="B219" s="87">
        <f t="shared" si="112"/>
        <v>0</v>
      </c>
      <c r="C219" s="87">
        <f t="shared" si="112"/>
        <v>0</v>
      </c>
      <c r="D219" s="87">
        <f t="shared" si="112"/>
        <v>0</v>
      </c>
      <c r="E219" s="244">
        <f t="shared" si="112"/>
        <v>0</v>
      </c>
      <c r="F219" s="244">
        <f t="shared" si="112"/>
        <v>0</v>
      </c>
      <c r="G219" s="244">
        <f t="shared" si="112"/>
        <v>0</v>
      </c>
      <c r="H219" s="244">
        <f t="shared" si="112"/>
        <v>0</v>
      </c>
      <c r="I219" s="244">
        <f t="shared" si="112"/>
        <v>0</v>
      </c>
      <c r="J219" s="89">
        <f>J36*(1-'Форма ввода (консолид.ДС)'!$C$57)</f>
        <v>0</v>
      </c>
      <c r="K219" s="189">
        <f t="shared" si="82"/>
        <v>0</v>
      </c>
      <c r="L219" s="244">
        <f t="shared" si="95"/>
        <v>0</v>
      </c>
      <c r="M219" s="189">
        <f t="shared" si="83"/>
        <v>0</v>
      </c>
      <c r="N219" s="189">
        <f t="shared" si="84"/>
        <v>0</v>
      </c>
      <c r="O219" s="244">
        <f t="shared" si="96"/>
        <v>0</v>
      </c>
      <c r="P219" s="115"/>
      <c r="Q219" s="116"/>
      <c r="R219" s="116"/>
    </row>
    <row r="220" spans="1:18" s="83" customFormat="1">
      <c r="A220" s="244">
        <f t="shared" ref="A220:I220" si="113">A37</f>
        <v>0</v>
      </c>
      <c r="B220" s="87">
        <f t="shared" si="113"/>
        <v>0</v>
      </c>
      <c r="C220" s="87">
        <f t="shared" si="113"/>
        <v>0</v>
      </c>
      <c r="D220" s="87">
        <f t="shared" si="113"/>
        <v>0</v>
      </c>
      <c r="E220" s="244">
        <f t="shared" si="113"/>
        <v>0</v>
      </c>
      <c r="F220" s="244">
        <f t="shared" si="113"/>
        <v>0</v>
      </c>
      <c r="G220" s="244">
        <f t="shared" si="113"/>
        <v>0</v>
      </c>
      <c r="H220" s="244">
        <f t="shared" si="113"/>
        <v>0</v>
      </c>
      <c r="I220" s="244">
        <f t="shared" si="113"/>
        <v>0</v>
      </c>
      <c r="J220" s="89">
        <f>J37*(1-'Форма ввода (консолид.ДС)'!$C$57)</f>
        <v>0</v>
      </c>
      <c r="K220" s="189">
        <f t="shared" si="82"/>
        <v>0</v>
      </c>
      <c r="L220" s="244">
        <f t="shared" si="95"/>
        <v>0</v>
      </c>
      <c r="M220" s="189">
        <f t="shared" si="83"/>
        <v>0</v>
      </c>
      <c r="N220" s="189">
        <f t="shared" si="84"/>
        <v>0</v>
      </c>
      <c r="O220" s="244">
        <f t="shared" si="96"/>
        <v>0</v>
      </c>
      <c r="P220" s="115"/>
      <c r="Q220" s="116"/>
      <c r="R220" s="116"/>
    </row>
    <row r="221" spans="1:18" s="83" customFormat="1">
      <c r="A221" s="244">
        <f t="shared" ref="A221:I221" si="114">A38</f>
        <v>0</v>
      </c>
      <c r="B221" s="87">
        <f t="shared" si="114"/>
        <v>0</v>
      </c>
      <c r="C221" s="87">
        <f t="shared" si="114"/>
        <v>0</v>
      </c>
      <c r="D221" s="87">
        <f t="shared" si="114"/>
        <v>0</v>
      </c>
      <c r="E221" s="244">
        <f t="shared" si="114"/>
        <v>0</v>
      </c>
      <c r="F221" s="244">
        <f t="shared" si="114"/>
        <v>0</v>
      </c>
      <c r="G221" s="244">
        <f t="shared" si="114"/>
        <v>0</v>
      </c>
      <c r="H221" s="244">
        <f t="shared" si="114"/>
        <v>0</v>
      </c>
      <c r="I221" s="244">
        <f t="shared" si="114"/>
        <v>0</v>
      </c>
      <c r="J221" s="89">
        <f>J38*(1-'Форма ввода (консолид.ДС)'!$C$57)</f>
        <v>0</v>
      </c>
      <c r="K221" s="189">
        <f t="shared" si="82"/>
        <v>0</v>
      </c>
      <c r="L221" s="244">
        <f t="shared" si="95"/>
        <v>0</v>
      </c>
      <c r="M221" s="189">
        <f t="shared" si="83"/>
        <v>0</v>
      </c>
      <c r="N221" s="189">
        <f t="shared" si="84"/>
        <v>0</v>
      </c>
      <c r="O221" s="244">
        <f t="shared" si="96"/>
        <v>0</v>
      </c>
      <c r="P221" s="115"/>
      <c r="Q221" s="116"/>
      <c r="R221" s="116"/>
    </row>
    <row r="222" spans="1:18" s="83" customFormat="1">
      <c r="A222" s="244">
        <f t="shared" ref="A222:I223" si="115">A39</f>
        <v>0</v>
      </c>
      <c r="B222" s="87">
        <f t="shared" si="115"/>
        <v>0</v>
      </c>
      <c r="C222" s="87">
        <f t="shared" si="115"/>
        <v>0</v>
      </c>
      <c r="D222" s="87">
        <f t="shared" si="115"/>
        <v>0</v>
      </c>
      <c r="E222" s="244">
        <f t="shared" si="115"/>
        <v>0</v>
      </c>
      <c r="F222" s="244">
        <f t="shared" si="115"/>
        <v>0</v>
      </c>
      <c r="G222" s="244">
        <f t="shared" si="115"/>
        <v>0</v>
      </c>
      <c r="H222" s="244">
        <f t="shared" si="115"/>
        <v>0</v>
      </c>
      <c r="I222" s="244">
        <f t="shared" si="115"/>
        <v>0</v>
      </c>
      <c r="J222" s="89">
        <f>J39*(1-'Форма ввода (консолид.ДС)'!$C$57)</f>
        <v>0</v>
      </c>
      <c r="K222" s="189">
        <f t="shared" si="82"/>
        <v>0</v>
      </c>
      <c r="L222" s="244">
        <f t="shared" si="95"/>
        <v>0</v>
      </c>
      <c r="M222" s="189">
        <f t="shared" si="83"/>
        <v>0</v>
      </c>
      <c r="N222" s="189">
        <f t="shared" si="84"/>
        <v>0</v>
      </c>
      <c r="O222" s="244">
        <f t="shared" si="96"/>
        <v>0</v>
      </c>
      <c r="P222" s="115"/>
      <c r="Q222" s="116"/>
      <c r="R222" s="116"/>
    </row>
    <row r="223" spans="1:18" s="83" customFormat="1">
      <c r="A223" s="94" t="str">
        <f t="shared" si="115"/>
        <v>ПОДЫТОГ :</v>
      </c>
      <c r="B223" s="236"/>
      <c r="C223" s="236"/>
      <c r="D223" s="236"/>
      <c r="E223" s="249"/>
      <c r="F223" s="249"/>
      <c r="G223" s="249"/>
      <c r="H223" s="249"/>
      <c r="I223" s="249"/>
      <c r="J223" s="246"/>
      <c r="K223" s="191">
        <f>SUM(K213:K222)</f>
        <v>0</v>
      </c>
      <c r="L223" s="250"/>
      <c r="M223" s="191">
        <f>SUM(M213:M222)</f>
        <v>0</v>
      </c>
      <c r="N223" s="191">
        <f>SUM(N213:N222)</f>
        <v>0</v>
      </c>
      <c r="O223" s="250"/>
      <c r="P223" s="115"/>
      <c r="Q223" s="116"/>
      <c r="R223" s="116"/>
    </row>
    <row r="224" spans="1:18" s="83" customFormat="1">
      <c r="A224" s="244">
        <f t="shared" ref="A224:I224" si="116">A41</f>
        <v>0</v>
      </c>
      <c r="B224" s="87">
        <f t="shared" si="116"/>
        <v>0</v>
      </c>
      <c r="C224" s="87">
        <f t="shared" si="116"/>
        <v>0</v>
      </c>
      <c r="D224" s="87">
        <f t="shared" si="116"/>
        <v>0</v>
      </c>
      <c r="E224" s="244">
        <f t="shared" si="116"/>
        <v>0</v>
      </c>
      <c r="F224" s="244">
        <f t="shared" si="116"/>
        <v>0</v>
      </c>
      <c r="G224" s="244">
        <f t="shared" si="116"/>
        <v>0</v>
      </c>
      <c r="H224" s="244">
        <f t="shared" si="116"/>
        <v>0</v>
      </c>
      <c r="I224" s="244">
        <f t="shared" si="116"/>
        <v>0</v>
      </c>
      <c r="J224" s="89">
        <f>J41*(1-'Форма ввода (консолид.ДС)'!$C$57)</f>
        <v>0</v>
      </c>
      <c r="K224" s="189">
        <f t="shared" si="82"/>
        <v>0</v>
      </c>
      <c r="L224" s="244">
        <f t="shared" si="95"/>
        <v>0</v>
      </c>
      <c r="M224" s="189">
        <f t="shared" si="83"/>
        <v>0</v>
      </c>
      <c r="N224" s="189">
        <f t="shared" si="84"/>
        <v>0</v>
      </c>
      <c r="O224" s="244">
        <f t="shared" si="96"/>
        <v>0</v>
      </c>
      <c r="P224" s="115"/>
      <c r="Q224" s="116"/>
      <c r="R224" s="116"/>
    </row>
    <row r="225" spans="1:18" s="83" customFormat="1">
      <c r="A225" s="244">
        <f t="shared" ref="A225:I225" si="117">A42</f>
        <v>0</v>
      </c>
      <c r="B225" s="87">
        <f t="shared" si="117"/>
        <v>0</v>
      </c>
      <c r="C225" s="87">
        <f t="shared" si="117"/>
        <v>0</v>
      </c>
      <c r="D225" s="87">
        <f t="shared" si="117"/>
        <v>0</v>
      </c>
      <c r="E225" s="244">
        <f t="shared" si="117"/>
        <v>0</v>
      </c>
      <c r="F225" s="244">
        <f t="shared" si="117"/>
        <v>0</v>
      </c>
      <c r="G225" s="244">
        <f t="shared" si="117"/>
        <v>0</v>
      </c>
      <c r="H225" s="244">
        <f t="shared" si="117"/>
        <v>0</v>
      </c>
      <c r="I225" s="244">
        <f t="shared" si="117"/>
        <v>0</v>
      </c>
      <c r="J225" s="89">
        <f>J42*(1-'Форма ввода (консолид.ДС)'!$C$57)</f>
        <v>0</v>
      </c>
      <c r="K225" s="189">
        <f t="shared" si="82"/>
        <v>0</v>
      </c>
      <c r="L225" s="244">
        <f t="shared" si="95"/>
        <v>0</v>
      </c>
      <c r="M225" s="189">
        <f t="shared" si="83"/>
        <v>0</v>
      </c>
      <c r="N225" s="189">
        <f t="shared" si="84"/>
        <v>0</v>
      </c>
      <c r="O225" s="244">
        <f t="shared" si="96"/>
        <v>0</v>
      </c>
      <c r="P225" s="115"/>
      <c r="Q225" s="116"/>
      <c r="R225" s="116"/>
    </row>
    <row r="226" spans="1:18" s="83" customFormat="1">
      <c r="A226" s="244">
        <f t="shared" ref="A226:I226" si="118">A43</f>
        <v>0</v>
      </c>
      <c r="B226" s="87">
        <f t="shared" si="118"/>
        <v>0</v>
      </c>
      <c r="C226" s="87">
        <f t="shared" si="118"/>
        <v>0</v>
      </c>
      <c r="D226" s="87">
        <f t="shared" si="118"/>
        <v>0</v>
      </c>
      <c r="E226" s="244">
        <f t="shared" si="118"/>
        <v>0</v>
      </c>
      <c r="F226" s="244">
        <f t="shared" si="118"/>
        <v>0</v>
      </c>
      <c r="G226" s="244">
        <f t="shared" si="118"/>
        <v>0</v>
      </c>
      <c r="H226" s="244">
        <f t="shared" si="118"/>
        <v>0</v>
      </c>
      <c r="I226" s="244">
        <f t="shared" si="118"/>
        <v>0</v>
      </c>
      <c r="J226" s="89">
        <f>J43*(1-'Форма ввода (консолид.ДС)'!$C$57)</f>
        <v>0</v>
      </c>
      <c r="K226" s="189">
        <f t="shared" si="82"/>
        <v>0</v>
      </c>
      <c r="L226" s="244">
        <f t="shared" si="95"/>
        <v>0</v>
      </c>
      <c r="M226" s="189">
        <f t="shared" si="83"/>
        <v>0</v>
      </c>
      <c r="N226" s="189">
        <f t="shared" si="84"/>
        <v>0</v>
      </c>
      <c r="O226" s="244">
        <f t="shared" si="96"/>
        <v>0</v>
      </c>
      <c r="P226" s="115"/>
      <c r="Q226" s="116"/>
      <c r="R226" s="116"/>
    </row>
    <row r="227" spans="1:18" s="83" customFormat="1">
      <c r="A227" s="244">
        <f t="shared" ref="A227:I227" si="119">A44</f>
        <v>0</v>
      </c>
      <c r="B227" s="87">
        <f t="shared" si="119"/>
        <v>0</v>
      </c>
      <c r="C227" s="87">
        <f t="shared" si="119"/>
        <v>0</v>
      </c>
      <c r="D227" s="87">
        <f t="shared" si="119"/>
        <v>0</v>
      </c>
      <c r="E227" s="244">
        <f t="shared" si="119"/>
        <v>0</v>
      </c>
      <c r="F227" s="244">
        <f t="shared" si="119"/>
        <v>0</v>
      </c>
      <c r="G227" s="244">
        <f t="shared" si="119"/>
        <v>0</v>
      </c>
      <c r="H227" s="244">
        <f t="shared" si="119"/>
        <v>0</v>
      </c>
      <c r="I227" s="244">
        <f t="shared" si="119"/>
        <v>0</v>
      </c>
      <c r="J227" s="89">
        <f>J44*(1-'Форма ввода (консолид.ДС)'!$C$57)</f>
        <v>0</v>
      </c>
      <c r="K227" s="189">
        <f t="shared" si="82"/>
        <v>0</v>
      </c>
      <c r="L227" s="244">
        <f t="shared" si="95"/>
        <v>0</v>
      </c>
      <c r="M227" s="189">
        <f t="shared" si="83"/>
        <v>0</v>
      </c>
      <c r="N227" s="189">
        <f t="shared" si="84"/>
        <v>0</v>
      </c>
      <c r="O227" s="244">
        <f t="shared" si="96"/>
        <v>0</v>
      </c>
      <c r="P227" s="115"/>
      <c r="Q227" s="116"/>
      <c r="R227" s="116"/>
    </row>
    <row r="228" spans="1:18" s="83" customFormat="1">
      <c r="A228" s="244">
        <f t="shared" ref="A228:I228" si="120">A45</f>
        <v>0</v>
      </c>
      <c r="B228" s="87">
        <f t="shared" si="120"/>
        <v>0</v>
      </c>
      <c r="C228" s="87">
        <f t="shared" si="120"/>
        <v>0</v>
      </c>
      <c r="D228" s="87">
        <f t="shared" si="120"/>
        <v>0</v>
      </c>
      <c r="E228" s="244">
        <f t="shared" si="120"/>
        <v>0</v>
      </c>
      <c r="F228" s="244">
        <f t="shared" si="120"/>
        <v>0</v>
      </c>
      <c r="G228" s="244">
        <f t="shared" si="120"/>
        <v>0</v>
      </c>
      <c r="H228" s="244">
        <f t="shared" si="120"/>
        <v>0</v>
      </c>
      <c r="I228" s="244">
        <f t="shared" si="120"/>
        <v>0</v>
      </c>
      <c r="J228" s="89">
        <f>J45*(1-'Форма ввода (консолид.ДС)'!$C$57)</f>
        <v>0</v>
      </c>
      <c r="K228" s="189">
        <f t="shared" si="82"/>
        <v>0</v>
      </c>
      <c r="L228" s="244">
        <f t="shared" si="95"/>
        <v>0</v>
      </c>
      <c r="M228" s="189">
        <f t="shared" si="83"/>
        <v>0</v>
      </c>
      <c r="N228" s="189">
        <f t="shared" si="84"/>
        <v>0</v>
      </c>
      <c r="O228" s="244">
        <f t="shared" si="96"/>
        <v>0</v>
      </c>
      <c r="P228" s="115"/>
      <c r="Q228" s="116"/>
      <c r="R228" s="116"/>
    </row>
    <row r="229" spans="1:18" s="83" customFormat="1">
      <c r="A229" s="244">
        <f t="shared" ref="A229:I229" si="121">A46</f>
        <v>0</v>
      </c>
      <c r="B229" s="87">
        <f t="shared" si="121"/>
        <v>0</v>
      </c>
      <c r="C229" s="87">
        <f t="shared" si="121"/>
        <v>0</v>
      </c>
      <c r="D229" s="87">
        <f t="shared" si="121"/>
        <v>0</v>
      </c>
      <c r="E229" s="244">
        <f t="shared" si="121"/>
        <v>0</v>
      </c>
      <c r="F229" s="244">
        <f t="shared" si="121"/>
        <v>0</v>
      </c>
      <c r="G229" s="244">
        <f t="shared" si="121"/>
        <v>0</v>
      </c>
      <c r="H229" s="244">
        <f t="shared" si="121"/>
        <v>0</v>
      </c>
      <c r="I229" s="244">
        <f t="shared" si="121"/>
        <v>0</v>
      </c>
      <c r="J229" s="89">
        <f>J46*(1-'Форма ввода (консолид.ДС)'!$C$57)</f>
        <v>0</v>
      </c>
      <c r="K229" s="189">
        <f t="shared" si="82"/>
        <v>0</v>
      </c>
      <c r="L229" s="244">
        <f t="shared" si="95"/>
        <v>0</v>
      </c>
      <c r="M229" s="189">
        <f t="shared" si="83"/>
        <v>0</v>
      </c>
      <c r="N229" s="189">
        <f t="shared" si="84"/>
        <v>0</v>
      </c>
      <c r="O229" s="244">
        <f t="shared" si="96"/>
        <v>0</v>
      </c>
      <c r="P229" s="115"/>
      <c r="Q229" s="116"/>
      <c r="R229" s="116"/>
    </row>
    <row r="230" spans="1:18" s="83" customFormat="1">
      <c r="A230" s="244">
        <f t="shared" ref="A230:I230" si="122">A47</f>
        <v>0</v>
      </c>
      <c r="B230" s="87">
        <f t="shared" si="122"/>
        <v>0</v>
      </c>
      <c r="C230" s="87">
        <f t="shared" si="122"/>
        <v>0</v>
      </c>
      <c r="D230" s="87">
        <f t="shared" si="122"/>
        <v>0</v>
      </c>
      <c r="E230" s="244">
        <f t="shared" si="122"/>
        <v>0</v>
      </c>
      <c r="F230" s="244">
        <f t="shared" si="122"/>
        <v>0</v>
      </c>
      <c r="G230" s="244">
        <f t="shared" si="122"/>
        <v>0</v>
      </c>
      <c r="H230" s="244">
        <f t="shared" si="122"/>
        <v>0</v>
      </c>
      <c r="I230" s="244">
        <f t="shared" si="122"/>
        <v>0</v>
      </c>
      <c r="J230" s="89">
        <f>J47*(1-'Форма ввода (консолид.ДС)'!$C$57)</f>
        <v>0</v>
      </c>
      <c r="K230" s="189">
        <f t="shared" si="82"/>
        <v>0</v>
      </c>
      <c r="L230" s="244">
        <f t="shared" si="95"/>
        <v>0</v>
      </c>
      <c r="M230" s="189">
        <f t="shared" si="83"/>
        <v>0</v>
      </c>
      <c r="N230" s="189">
        <f t="shared" si="84"/>
        <v>0</v>
      </c>
      <c r="O230" s="244">
        <f t="shared" si="96"/>
        <v>0</v>
      </c>
      <c r="P230" s="115"/>
      <c r="Q230" s="116"/>
      <c r="R230" s="116"/>
    </row>
    <row r="231" spans="1:18" s="83" customFormat="1">
      <c r="A231" s="244">
        <f t="shared" ref="A231:I231" si="123">A48</f>
        <v>0</v>
      </c>
      <c r="B231" s="87">
        <f t="shared" si="123"/>
        <v>0</v>
      </c>
      <c r="C231" s="87">
        <f t="shared" si="123"/>
        <v>0</v>
      </c>
      <c r="D231" s="87">
        <f t="shared" si="123"/>
        <v>0</v>
      </c>
      <c r="E231" s="244">
        <f t="shared" si="123"/>
        <v>0</v>
      </c>
      <c r="F231" s="244">
        <f t="shared" si="123"/>
        <v>0</v>
      </c>
      <c r="G231" s="244">
        <f t="shared" si="123"/>
        <v>0</v>
      </c>
      <c r="H231" s="244">
        <f t="shared" si="123"/>
        <v>0</v>
      </c>
      <c r="I231" s="244">
        <f t="shared" si="123"/>
        <v>0</v>
      </c>
      <c r="J231" s="89">
        <f>J48*(1-'Форма ввода (консолид.ДС)'!$C$57)</f>
        <v>0</v>
      </c>
      <c r="K231" s="189">
        <f t="shared" si="82"/>
        <v>0</v>
      </c>
      <c r="L231" s="244">
        <f t="shared" si="95"/>
        <v>0</v>
      </c>
      <c r="M231" s="189">
        <f t="shared" si="83"/>
        <v>0</v>
      </c>
      <c r="N231" s="189">
        <f t="shared" si="84"/>
        <v>0</v>
      </c>
      <c r="O231" s="244">
        <f t="shared" si="96"/>
        <v>0</v>
      </c>
      <c r="P231" s="115"/>
      <c r="Q231" s="116"/>
      <c r="R231" s="116"/>
    </row>
    <row r="232" spans="1:18" s="83" customFormat="1">
      <c r="A232" s="244">
        <f t="shared" ref="A232:I232" si="124">A49</f>
        <v>0</v>
      </c>
      <c r="B232" s="87">
        <f t="shared" si="124"/>
        <v>0</v>
      </c>
      <c r="C232" s="87">
        <f t="shared" si="124"/>
        <v>0</v>
      </c>
      <c r="D232" s="87">
        <f t="shared" si="124"/>
        <v>0</v>
      </c>
      <c r="E232" s="244">
        <f t="shared" si="124"/>
        <v>0</v>
      </c>
      <c r="F232" s="244">
        <f t="shared" si="124"/>
        <v>0</v>
      </c>
      <c r="G232" s="244">
        <f t="shared" si="124"/>
        <v>0</v>
      </c>
      <c r="H232" s="244">
        <f t="shared" si="124"/>
        <v>0</v>
      </c>
      <c r="I232" s="244">
        <f t="shared" si="124"/>
        <v>0</v>
      </c>
      <c r="J232" s="89">
        <f>J49*(1-'Форма ввода (консолид.ДС)'!$C$57)</f>
        <v>0</v>
      </c>
      <c r="K232" s="189">
        <f t="shared" si="82"/>
        <v>0</v>
      </c>
      <c r="L232" s="244">
        <f t="shared" si="95"/>
        <v>0</v>
      </c>
      <c r="M232" s="189">
        <f t="shared" si="83"/>
        <v>0</v>
      </c>
      <c r="N232" s="189">
        <f t="shared" si="84"/>
        <v>0</v>
      </c>
      <c r="O232" s="244">
        <f t="shared" si="96"/>
        <v>0</v>
      </c>
      <c r="P232" s="115"/>
      <c r="Q232" s="116"/>
      <c r="R232" s="116"/>
    </row>
    <row r="233" spans="1:18" s="83" customFormat="1">
      <c r="A233" s="244">
        <f>A50</f>
        <v>0</v>
      </c>
      <c r="B233" s="87">
        <f t="shared" ref="B233:I233" si="125">B50</f>
        <v>0</v>
      </c>
      <c r="C233" s="87">
        <f t="shared" si="125"/>
        <v>0</v>
      </c>
      <c r="D233" s="87">
        <f t="shared" si="125"/>
        <v>0</v>
      </c>
      <c r="E233" s="244">
        <f t="shared" si="125"/>
        <v>0</v>
      </c>
      <c r="F233" s="244">
        <f t="shared" si="125"/>
        <v>0</v>
      </c>
      <c r="G233" s="244">
        <f t="shared" si="125"/>
        <v>0</v>
      </c>
      <c r="H233" s="244">
        <f t="shared" si="125"/>
        <v>0</v>
      </c>
      <c r="I233" s="244">
        <f t="shared" si="125"/>
        <v>0</v>
      </c>
      <c r="J233" s="89">
        <f>J50*(1-'Форма ввода (консолид.ДС)'!$C$57)</f>
        <v>0</v>
      </c>
      <c r="K233" s="189">
        <f>ROUND(I233*J233,2)</f>
        <v>0</v>
      </c>
      <c r="L233" s="244">
        <f t="shared" si="95"/>
        <v>0</v>
      </c>
      <c r="M233" s="189">
        <f>IF(L233="Без НДС",0,ROUND(K233*L233,2))</f>
        <v>0</v>
      </c>
      <c r="N233" s="189">
        <f>M233+K233</f>
        <v>0</v>
      </c>
      <c r="O233" s="244">
        <f t="shared" si="96"/>
        <v>0</v>
      </c>
      <c r="P233" s="115"/>
      <c r="Q233" s="116"/>
      <c r="R233" s="116"/>
    </row>
    <row r="234" spans="1:18" s="83" customFormat="1">
      <c r="A234" s="94" t="str">
        <f t="shared" ref="A234" si="126">A51</f>
        <v>ПОДЫТОГ :</v>
      </c>
      <c r="B234" s="236"/>
      <c r="C234" s="236"/>
      <c r="D234" s="236"/>
      <c r="E234" s="249"/>
      <c r="F234" s="249"/>
      <c r="G234" s="249"/>
      <c r="H234" s="249"/>
      <c r="I234" s="249"/>
      <c r="J234" s="246"/>
      <c r="K234" s="191">
        <f>SUM(K224:K233)</f>
        <v>0</v>
      </c>
      <c r="L234" s="250"/>
      <c r="M234" s="191">
        <f>SUM(M224:M233)</f>
        <v>0</v>
      </c>
      <c r="N234" s="191">
        <f>SUM(N224:N233)</f>
        <v>0</v>
      </c>
      <c r="O234" s="250"/>
      <c r="P234" s="115"/>
      <c r="Q234" s="116"/>
      <c r="R234" s="116"/>
    </row>
    <row r="235" spans="1:18" s="83" customFormat="1">
      <c r="A235" s="244">
        <f t="shared" ref="A235:I235" si="127">A52</f>
        <v>0</v>
      </c>
      <c r="B235" s="87">
        <f t="shared" si="127"/>
        <v>0</v>
      </c>
      <c r="C235" s="87">
        <f t="shared" si="127"/>
        <v>0</v>
      </c>
      <c r="D235" s="87">
        <f t="shared" si="127"/>
        <v>0</v>
      </c>
      <c r="E235" s="244">
        <f t="shared" si="127"/>
        <v>0</v>
      </c>
      <c r="F235" s="244">
        <f t="shared" si="127"/>
        <v>0</v>
      </c>
      <c r="G235" s="244">
        <f t="shared" si="127"/>
        <v>0</v>
      </c>
      <c r="H235" s="244">
        <f t="shared" si="127"/>
        <v>0</v>
      </c>
      <c r="I235" s="244">
        <f t="shared" si="127"/>
        <v>0</v>
      </c>
      <c r="J235" s="89">
        <f>J52*(1-'Форма ввода (консолид.ДС)'!$C$57)</f>
        <v>0</v>
      </c>
      <c r="K235" s="189">
        <f t="shared" ref="K235:K266" si="128">ROUND(I235*J235,2)</f>
        <v>0</v>
      </c>
      <c r="L235" s="244">
        <f t="shared" si="95"/>
        <v>0</v>
      </c>
      <c r="M235" s="189">
        <f t="shared" ref="M235:M266" si="129">IF(L235="Без НДС",0,ROUND(K235*L235,2))</f>
        <v>0</v>
      </c>
      <c r="N235" s="189">
        <f t="shared" ref="N235:N266" si="130">M235+K235</f>
        <v>0</v>
      </c>
      <c r="O235" s="244">
        <f t="shared" si="96"/>
        <v>0</v>
      </c>
      <c r="P235" s="115"/>
      <c r="Q235" s="116"/>
      <c r="R235" s="116"/>
    </row>
    <row r="236" spans="1:18" s="83" customFormat="1">
      <c r="A236" s="244">
        <f t="shared" ref="A236:I236" si="131">A53</f>
        <v>0</v>
      </c>
      <c r="B236" s="87">
        <f t="shared" si="131"/>
        <v>0</v>
      </c>
      <c r="C236" s="87">
        <f t="shared" si="131"/>
        <v>0</v>
      </c>
      <c r="D236" s="87">
        <f t="shared" si="131"/>
        <v>0</v>
      </c>
      <c r="E236" s="244">
        <f t="shared" si="131"/>
        <v>0</v>
      </c>
      <c r="F236" s="244">
        <f t="shared" si="131"/>
        <v>0</v>
      </c>
      <c r="G236" s="244">
        <f t="shared" si="131"/>
        <v>0</v>
      </c>
      <c r="H236" s="244">
        <f t="shared" si="131"/>
        <v>0</v>
      </c>
      <c r="I236" s="244">
        <f t="shared" si="131"/>
        <v>0</v>
      </c>
      <c r="J236" s="89">
        <f>J53*(1-'Форма ввода (консолид.ДС)'!$C$57)</f>
        <v>0</v>
      </c>
      <c r="K236" s="189">
        <f t="shared" si="128"/>
        <v>0</v>
      </c>
      <c r="L236" s="244">
        <f t="shared" si="95"/>
        <v>0</v>
      </c>
      <c r="M236" s="189">
        <f t="shared" si="129"/>
        <v>0</v>
      </c>
      <c r="N236" s="189">
        <f t="shared" si="130"/>
        <v>0</v>
      </c>
      <c r="O236" s="244">
        <f t="shared" si="96"/>
        <v>0</v>
      </c>
      <c r="P236" s="115"/>
      <c r="Q236" s="116"/>
      <c r="R236" s="116"/>
    </row>
    <row r="237" spans="1:18" s="83" customFormat="1">
      <c r="A237" s="244">
        <f t="shared" ref="A237:I237" si="132">A54</f>
        <v>0</v>
      </c>
      <c r="B237" s="87">
        <f t="shared" si="132"/>
        <v>0</v>
      </c>
      <c r="C237" s="87">
        <f t="shared" si="132"/>
        <v>0</v>
      </c>
      <c r="D237" s="87">
        <f t="shared" si="132"/>
        <v>0</v>
      </c>
      <c r="E237" s="244">
        <f t="shared" si="132"/>
        <v>0</v>
      </c>
      <c r="F237" s="244">
        <f t="shared" si="132"/>
        <v>0</v>
      </c>
      <c r="G237" s="244">
        <f t="shared" si="132"/>
        <v>0</v>
      </c>
      <c r="H237" s="244">
        <f t="shared" si="132"/>
        <v>0</v>
      </c>
      <c r="I237" s="244">
        <f t="shared" si="132"/>
        <v>0</v>
      </c>
      <c r="J237" s="89">
        <f>J54*(1-'Форма ввода (консолид.ДС)'!$C$57)</f>
        <v>0</v>
      </c>
      <c r="K237" s="189">
        <f t="shared" si="128"/>
        <v>0</v>
      </c>
      <c r="L237" s="244">
        <f t="shared" si="95"/>
        <v>0</v>
      </c>
      <c r="M237" s="189">
        <f t="shared" si="129"/>
        <v>0</v>
      </c>
      <c r="N237" s="189">
        <f t="shared" si="130"/>
        <v>0</v>
      </c>
      <c r="O237" s="244">
        <f t="shared" si="96"/>
        <v>0</v>
      </c>
      <c r="P237" s="115"/>
      <c r="Q237" s="116"/>
      <c r="R237" s="116"/>
    </row>
    <row r="238" spans="1:18" s="83" customFormat="1">
      <c r="A238" s="244">
        <f t="shared" ref="A238:I238" si="133">A55</f>
        <v>0</v>
      </c>
      <c r="B238" s="87">
        <f t="shared" si="133"/>
        <v>0</v>
      </c>
      <c r="C238" s="87">
        <f t="shared" si="133"/>
        <v>0</v>
      </c>
      <c r="D238" s="87">
        <f t="shared" si="133"/>
        <v>0</v>
      </c>
      <c r="E238" s="244">
        <f t="shared" si="133"/>
        <v>0</v>
      </c>
      <c r="F238" s="244">
        <f t="shared" si="133"/>
        <v>0</v>
      </c>
      <c r="G238" s="244">
        <f t="shared" si="133"/>
        <v>0</v>
      </c>
      <c r="H238" s="244">
        <f t="shared" si="133"/>
        <v>0</v>
      </c>
      <c r="I238" s="244">
        <f t="shared" si="133"/>
        <v>0</v>
      </c>
      <c r="J238" s="89">
        <f>J55*(1-'Форма ввода (консолид.ДС)'!$C$57)</f>
        <v>0</v>
      </c>
      <c r="K238" s="189">
        <f t="shared" si="128"/>
        <v>0</v>
      </c>
      <c r="L238" s="244">
        <f t="shared" si="95"/>
        <v>0</v>
      </c>
      <c r="M238" s="189">
        <f t="shared" si="129"/>
        <v>0</v>
      </c>
      <c r="N238" s="189">
        <f t="shared" si="130"/>
        <v>0</v>
      </c>
      <c r="O238" s="244">
        <f t="shared" si="96"/>
        <v>0</v>
      </c>
      <c r="P238" s="115"/>
      <c r="Q238" s="116"/>
      <c r="R238" s="116"/>
    </row>
    <row r="239" spans="1:18" s="83" customFormat="1">
      <c r="A239" s="244">
        <f t="shared" ref="A239:I239" si="134">A56</f>
        <v>0</v>
      </c>
      <c r="B239" s="87">
        <f t="shared" si="134"/>
        <v>0</v>
      </c>
      <c r="C239" s="87">
        <f t="shared" si="134"/>
        <v>0</v>
      </c>
      <c r="D239" s="87">
        <f t="shared" si="134"/>
        <v>0</v>
      </c>
      <c r="E239" s="244">
        <f t="shared" si="134"/>
        <v>0</v>
      </c>
      <c r="F239" s="244">
        <f t="shared" si="134"/>
        <v>0</v>
      </c>
      <c r="G239" s="244">
        <f t="shared" si="134"/>
        <v>0</v>
      </c>
      <c r="H239" s="244">
        <f t="shared" si="134"/>
        <v>0</v>
      </c>
      <c r="I239" s="244">
        <f t="shared" si="134"/>
        <v>0</v>
      </c>
      <c r="J239" s="89">
        <f>J56*(1-'Форма ввода (консолид.ДС)'!$C$57)</f>
        <v>0</v>
      </c>
      <c r="K239" s="189">
        <f t="shared" si="128"/>
        <v>0</v>
      </c>
      <c r="L239" s="244">
        <f t="shared" si="95"/>
        <v>0</v>
      </c>
      <c r="M239" s="189">
        <f t="shared" si="129"/>
        <v>0</v>
      </c>
      <c r="N239" s="189">
        <f t="shared" si="130"/>
        <v>0</v>
      </c>
      <c r="O239" s="244">
        <f t="shared" si="96"/>
        <v>0</v>
      </c>
      <c r="P239" s="115"/>
      <c r="Q239" s="116"/>
      <c r="R239" s="116"/>
    </row>
    <row r="240" spans="1:18" s="83" customFormat="1">
      <c r="A240" s="244">
        <f t="shared" ref="A240:I240" si="135">A57</f>
        <v>0</v>
      </c>
      <c r="B240" s="87">
        <f t="shared" si="135"/>
        <v>0</v>
      </c>
      <c r="C240" s="87">
        <f t="shared" si="135"/>
        <v>0</v>
      </c>
      <c r="D240" s="87">
        <f t="shared" si="135"/>
        <v>0</v>
      </c>
      <c r="E240" s="244">
        <f t="shared" si="135"/>
        <v>0</v>
      </c>
      <c r="F240" s="244">
        <f t="shared" si="135"/>
        <v>0</v>
      </c>
      <c r="G240" s="244">
        <f t="shared" si="135"/>
        <v>0</v>
      </c>
      <c r="H240" s="244">
        <f t="shared" si="135"/>
        <v>0</v>
      </c>
      <c r="I240" s="244">
        <f t="shared" si="135"/>
        <v>0</v>
      </c>
      <c r="J240" s="89">
        <f>J57*(1-'Форма ввода (консолид.ДС)'!$C$57)</f>
        <v>0</v>
      </c>
      <c r="K240" s="189">
        <f t="shared" si="128"/>
        <v>0</v>
      </c>
      <c r="L240" s="244">
        <f t="shared" si="95"/>
        <v>0</v>
      </c>
      <c r="M240" s="189">
        <f t="shared" si="129"/>
        <v>0</v>
      </c>
      <c r="N240" s="189">
        <f t="shared" si="130"/>
        <v>0</v>
      </c>
      <c r="O240" s="244">
        <f t="shared" si="96"/>
        <v>0</v>
      </c>
      <c r="P240" s="115"/>
      <c r="Q240" s="116"/>
      <c r="R240" s="116"/>
    </row>
    <row r="241" spans="1:18" s="83" customFormat="1">
      <c r="A241" s="244">
        <f t="shared" ref="A241:I241" si="136">A58</f>
        <v>0</v>
      </c>
      <c r="B241" s="87">
        <f t="shared" si="136"/>
        <v>0</v>
      </c>
      <c r="C241" s="87">
        <f t="shared" si="136"/>
        <v>0</v>
      </c>
      <c r="D241" s="87">
        <f t="shared" si="136"/>
        <v>0</v>
      </c>
      <c r="E241" s="244">
        <f t="shared" si="136"/>
        <v>0</v>
      </c>
      <c r="F241" s="244">
        <f t="shared" si="136"/>
        <v>0</v>
      </c>
      <c r="G241" s="244">
        <f t="shared" si="136"/>
        <v>0</v>
      </c>
      <c r="H241" s="244">
        <f t="shared" si="136"/>
        <v>0</v>
      </c>
      <c r="I241" s="244">
        <f t="shared" si="136"/>
        <v>0</v>
      </c>
      <c r="J241" s="89">
        <f>J58*(1-'Форма ввода (консолид.ДС)'!$C$57)</f>
        <v>0</v>
      </c>
      <c r="K241" s="189">
        <f t="shared" si="128"/>
        <v>0</v>
      </c>
      <c r="L241" s="244">
        <f t="shared" si="95"/>
        <v>0</v>
      </c>
      <c r="M241" s="189">
        <f t="shared" si="129"/>
        <v>0</v>
      </c>
      <c r="N241" s="189">
        <f t="shared" si="130"/>
        <v>0</v>
      </c>
      <c r="O241" s="244">
        <f t="shared" si="96"/>
        <v>0</v>
      </c>
      <c r="P241" s="115"/>
      <c r="Q241" s="116"/>
      <c r="R241" s="116"/>
    </row>
    <row r="242" spans="1:18" s="83" customFormat="1">
      <c r="A242" s="244">
        <f t="shared" ref="A242:I242" si="137">A59</f>
        <v>0</v>
      </c>
      <c r="B242" s="87">
        <f t="shared" si="137"/>
        <v>0</v>
      </c>
      <c r="C242" s="87">
        <f t="shared" si="137"/>
        <v>0</v>
      </c>
      <c r="D242" s="87">
        <f t="shared" si="137"/>
        <v>0</v>
      </c>
      <c r="E242" s="244">
        <f t="shared" si="137"/>
        <v>0</v>
      </c>
      <c r="F242" s="244">
        <f t="shared" si="137"/>
        <v>0</v>
      </c>
      <c r="G242" s="244">
        <f t="shared" si="137"/>
        <v>0</v>
      </c>
      <c r="H242" s="244">
        <f t="shared" si="137"/>
        <v>0</v>
      </c>
      <c r="I242" s="244">
        <f t="shared" si="137"/>
        <v>0</v>
      </c>
      <c r="J242" s="89">
        <f>J59*(1-'Форма ввода (консолид.ДС)'!$C$57)</f>
        <v>0</v>
      </c>
      <c r="K242" s="189">
        <f t="shared" si="128"/>
        <v>0</v>
      </c>
      <c r="L242" s="244">
        <f t="shared" si="95"/>
        <v>0</v>
      </c>
      <c r="M242" s="189">
        <f t="shared" si="129"/>
        <v>0</v>
      </c>
      <c r="N242" s="189">
        <f t="shared" si="130"/>
        <v>0</v>
      </c>
      <c r="O242" s="244">
        <f t="shared" si="96"/>
        <v>0</v>
      </c>
      <c r="P242" s="115"/>
      <c r="Q242" s="116"/>
      <c r="R242" s="116"/>
    </row>
    <row r="243" spans="1:18" s="83" customFormat="1">
      <c r="A243" s="244">
        <f t="shared" ref="A243:I243" si="138">A60</f>
        <v>0</v>
      </c>
      <c r="B243" s="87">
        <f t="shared" si="138"/>
        <v>0</v>
      </c>
      <c r="C243" s="87">
        <f t="shared" si="138"/>
        <v>0</v>
      </c>
      <c r="D243" s="87">
        <f t="shared" si="138"/>
        <v>0</v>
      </c>
      <c r="E243" s="244">
        <f t="shared" si="138"/>
        <v>0</v>
      </c>
      <c r="F243" s="244">
        <f t="shared" si="138"/>
        <v>0</v>
      </c>
      <c r="G243" s="244">
        <f t="shared" si="138"/>
        <v>0</v>
      </c>
      <c r="H243" s="244">
        <f t="shared" si="138"/>
        <v>0</v>
      </c>
      <c r="I243" s="244">
        <f t="shared" si="138"/>
        <v>0</v>
      </c>
      <c r="J243" s="89">
        <f>J60*(1-'Форма ввода (консолид.ДС)'!$C$57)</f>
        <v>0</v>
      </c>
      <c r="K243" s="189">
        <f t="shared" si="128"/>
        <v>0</v>
      </c>
      <c r="L243" s="244">
        <f t="shared" si="95"/>
        <v>0</v>
      </c>
      <c r="M243" s="189">
        <f t="shared" si="129"/>
        <v>0</v>
      </c>
      <c r="N243" s="189">
        <f t="shared" si="130"/>
        <v>0</v>
      </c>
      <c r="O243" s="244">
        <f t="shared" si="96"/>
        <v>0</v>
      </c>
      <c r="P243" s="115"/>
      <c r="Q243" s="116"/>
      <c r="R243" s="116"/>
    </row>
    <row r="244" spans="1:18" s="83" customFormat="1">
      <c r="A244" s="244">
        <f t="shared" ref="A244:I245" si="139">A61</f>
        <v>0</v>
      </c>
      <c r="B244" s="87">
        <f t="shared" si="139"/>
        <v>0</v>
      </c>
      <c r="C244" s="87">
        <f t="shared" si="139"/>
        <v>0</v>
      </c>
      <c r="D244" s="87">
        <f t="shared" si="139"/>
        <v>0</v>
      </c>
      <c r="E244" s="244">
        <f t="shared" si="139"/>
        <v>0</v>
      </c>
      <c r="F244" s="244">
        <f t="shared" si="139"/>
        <v>0</v>
      </c>
      <c r="G244" s="244">
        <f t="shared" si="139"/>
        <v>0</v>
      </c>
      <c r="H244" s="244">
        <f t="shared" si="139"/>
        <v>0</v>
      </c>
      <c r="I244" s="244">
        <f t="shared" si="139"/>
        <v>0</v>
      </c>
      <c r="J244" s="89">
        <f>J61*(1-'Форма ввода (консолид.ДС)'!$C$57)</f>
        <v>0</v>
      </c>
      <c r="K244" s="189">
        <f t="shared" si="128"/>
        <v>0</v>
      </c>
      <c r="L244" s="244">
        <f t="shared" si="95"/>
        <v>0</v>
      </c>
      <c r="M244" s="189">
        <f t="shared" si="129"/>
        <v>0</v>
      </c>
      <c r="N244" s="189">
        <f t="shared" si="130"/>
        <v>0</v>
      </c>
      <c r="O244" s="244">
        <f t="shared" si="96"/>
        <v>0</v>
      </c>
      <c r="P244" s="115"/>
      <c r="Q244" s="116"/>
      <c r="R244" s="116"/>
    </row>
    <row r="245" spans="1:18" s="83" customFormat="1">
      <c r="A245" s="94" t="str">
        <f t="shared" si="139"/>
        <v>ПОДЫТОГ :</v>
      </c>
      <c r="B245" s="236"/>
      <c r="C245" s="236"/>
      <c r="D245" s="236"/>
      <c r="E245" s="249"/>
      <c r="F245" s="249"/>
      <c r="G245" s="249"/>
      <c r="H245" s="249"/>
      <c r="I245" s="249"/>
      <c r="J245" s="246"/>
      <c r="K245" s="191">
        <f>SUM(K235:K244)</f>
        <v>0</v>
      </c>
      <c r="L245" s="250"/>
      <c r="M245" s="191">
        <f>SUM(M235:M244)</f>
        <v>0</v>
      </c>
      <c r="N245" s="191">
        <f>SUM(N235:N244)</f>
        <v>0</v>
      </c>
      <c r="O245" s="250"/>
      <c r="P245" s="115"/>
      <c r="Q245" s="116"/>
      <c r="R245" s="116"/>
    </row>
    <row r="246" spans="1:18" s="83" customFormat="1">
      <c r="A246" s="244">
        <f t="shared" ref="A246:I246" si="140">A63</f>
        <v>0</v>
      </c>
      <c r="B246" s="87">
        <f t="shared" si="140"/>
        <v>0</v>
      </c>
      <c r="C246" s="87">
        <f t="shared" si="140"/>
        <v>0</v>
      </c>
      <c r="D246" s="87">
        <f t="shared" si="140"/>
        <v>0</v>
      </c>
      <c r="E246" s="244">
        <f t="shared" si="140"/>
        <v>0</v>
      </c>
      <c r="F246" s="244">
        <f t="shared" si="140"/>
        <v>0</v>
      </c>
      <c r="G246" s="244">
        <f t="shared" si="140"/>
        <v>0</v>
      </c>
      <c r="H246" s="244">
        <f t="shared" si="140"/>
        <v>0</v>
      </c>
      <c r="I246" s="244">
        <f t="shared" si="140"/>
        <v>0</v>
      </c>
      <c r="J246" s="89">
        <f>J63*(1-'Форма ввода (консолид.ДС)'!$C$57)</f>
        <v>0</v>
      </c>
      <c r="K246" s="189">
        <f t="shared" si="128"/>
        <v>0</v>
      </c>
      <c r="L246" s="244">
        <f t="shared" si="95"/>
        <v>0</v>
      </c>
      <c r="M246" s="189">
        <f t="shared" si="129"/>
        <v>0</v>
      </c>
      <c r="N246" s="189">
        <f t="shared" si="130"/>
        <v>0</v>
      </c>
      <c r="O246" s="244">
        <f t="shared" si="96"/>
        <v>0</v>
      </c>
      <c r="P246" s="115"/>
      <c r="Q246" s="116"/>
      <c r="R246" s="116"/>
    </row>
    <row r="247" spans="1:18" s="83" customFormat="1">
      <c r="A247" s="244">
        <f t="shared" ref="A247:I247" si="141">A64</f>
        <v>0</v>
      </c>
      <c r="B247" s="87">
        <f t="shared" si="141"/>
        <v>0</v>
      </c>
      <c r="C247" s="87">
        <f t="shared" si="141"/>
        <v>0</v>
      </c>
      <c r="D247" s="87">
        <f t="shared" si="141"/>
        <v>0</v>
      </c>
      <c r="E247" s="244">
        <f t="shared" si="141"/>
        <v>0</v>
      </c>
      <c r="F247" s="244">
        <f t="shared" si="141"/>
        <v>0</v>
      </c>
      <c r="G247" s="244">
        <f t="shared" si="141"/>
        <v>0</v>
      </c>
      <c r="H247" s="244">
        <f t="shared" si="141"/>
        <v>0</v>
      </c>
      <c r="I247" s="244">
        <f t="shared" si="141"/>
        <v>0</v>
      </c>
      <c r="J247" s="89">
        <f>J64*(1-'Форма ввода (консолид.ДС)'!$C$57)</f>
        <v>0</v>
      </c>
      <c r="K247" s="189">
        <f t="shared" si="128"/>
        <v>0</v>
      </c>
      <c r="L247" s="244">
        <f t="shared" si="95"/>
        <v>0</v>
      </c>
      <c r="M247" s="189">
        <f t="shared" si="129"/>
        <v>0</v>
      </c>
      <c r="N247" s="189">
        <f t="shared" si="130"/>
        <v>0</v>
      </c>
      <c r="O247" s="244">
        <f t="shared" si="96"/>
        <v>0</v>
      </c>
      <c r="P247" s="115"/>
      <c r="Q247" s="116"/>
      <c r="R247" s="116"/>
    </row>
    <row r="248" spans="1:18" s="83" customFormat="1">
      <c r="A248" s="244">
        <f t="shared" ref="A248:I248" si="142">A65</f>
        <v>0</v>
      </c>
      <c r="B248" s="87">
        <f t="shared" si="142"/>
        <v>0</v>
      </c>
      <c r="C248" s="87">
        <f t="shared" si="142"/>
        <v>0</v>
      </c>
      <c r="D248" s="87">
        <f t="shared" si="142"/>
        <v>0</v>
      </c>
      <c r="E248" s="244">
        <f t="shared" si="142"/>
        <v>0</v>
      </c>
      <c r="F248" s="244">
        <f t="shared" si="142"/>
        <v>0</v>
      </c>
      <c r="G248" s="244">
        <f t="shared" si="142"/>
        <v>0</v>
      </c>
      <c r="H248" s="244">
        <f t="shared" si="142"/>
        <v>0</v>
      </c>
      <c r="I248" s="244">
        <f t="shared" si="142"/>
        <v>0</v>
      </c>
      <c r="J248" s="89">
        <f>J65*(1-'Форма ввода (консолид.ДС)'!$C$57)</f>
        <v>0</v>
      </c>
      <c r="K248" s="189">
        <f t="shared" si="128"/>
        <v>0</v>
      </c>
      <c r="L248" s="244">
        <f t="shared" si="95"/>
        <v>0</v>
      </c>
      <c r="M248" s="189">
        <f t="shared" si="129"/>
        <v>0</v>
      </c>
      <c r="N248" s="189">
        <f t="shared" si="130"/>
        <v>0</v>
      </c>
      <c r="O248" s="244">
        <f t="shared" si="96"/>
        <v>0</v>
      </c>
      <c r="P248" s="115"/>
      <c r="Q248" s="116"/>
      <c r="R248" s="116"/>
    </row>
    <row r="249" spans="1:18" s="83" customFormat="1">
      <c r="A249" s="244">
        <f t="shared" ref="A249:I249" si="143">A66</f>
        <v>0</v>
      </c>
      <c r="B249" s="87">
        <f t="shared" si="143"/>
        <v>0</v>
      </c>
      <c r="C249" s="87">
        <f t="shared" si="143"/>
        <v>0</v>
      </c>
      <c r="D249" s="87">
        <f t="shared" si="143"/>
        <v>0</v>
      </c>
      <c r="E249" s="244">
        <f t="shared" si="143"/>
        <v>0</v>
      </c>
      <c r="F249" s="244">
        <f t="shared" si="143"/>
        <v>0</v>
      </c>
      <c r="G249" s="244">
        <f t="shared" si="143"/>
        <v>0</v>
      </c>
      <c r="H249" s="244">
        <f t="shared" si="143"/>
        <v>0</v>
      </c>
      <c r="I249" s="244">
        <f t="shared" si="143"/>
        <v>0</v>
      </c>
      <c r="J249" s="89">
        <f>J66*(1-'Форма ввода (консолид.ДС)'!$C$57)</f>
        <v>0</v>
      </c>
      <c r="K249" s="189">
        <f t="shared" si="128"/>
        <v>0</v>
      </c>
      <c r="L249" s="244">
        <f t="shared" si="95"/>
        <v>0</v>
      </c>
      <c r="M249" s="189">
        <f t="shared" si="129"/>
        <v>0</v>
      </c>
      <c r="N249" s="189">
        <f t="shared" si="130"/>
        <v>0</v>
      </c>
      <c r="O249" s="244">
        <f t="shared" si="96"/>
        <v>0</v>
      </c>
      <c r="P249" s="115"/>
      <c r="Q249" s="116"/>
      <c r="R249" s="116"/>
    </row>
    <row r="250" spans="1:18" s="83" customFormat="1">
      <c r="A250" s="244">
        <f t="shared" ref="A250:I250" si="144">A67</f>
        <v>0</v>
      </c>
      <c r="B250" s="87">
        <f t="shared" si="144"/>
        <v>0</v>
      </c>
      <c r="C250" s="87">
        <f t="shared" si="144"/>
        <v>0</v>
      </c>
      <c r="D250" s="87">
        <f t="shared" si="144"/>
        <v>0</v>
      </c>
      <c r="E250" s="244">
        <f t="shared" si="144"/>
        <v>0</v>
      </c>
      <c r="F250" s="244">
        <f t="shared" si="144"/>
        <v>0</v>
      </c>
      <c r="G250" s="244">
        <f t="shared" si="144"/>
        <v>0</v>
      </c>
      <c r="H250" s="244">
        <f t="shared" si="144"/>
        <v>0</v>
      </c>
      <c r="I250" s="244">
        <f t="shared" si="144"/>
        <v>0</v>
      </c>
      <c r="J250" s="89">
        <f>J67*(1-'Форма ввода (консолид.ДС)'!$C$57)</f>
        <v>0</v>
      </c>
      <c r="K250" s="189">
        <f t="shared" si="128"/>
        <v>0</v>
      </c>
      <c r="L250" s="244">
        <f t="shared" si="95"/>
        <v>0</v>
      </c>
      <c r="M250" s="189">
        <f t="shared" si="129"/>
        <v>0</v>
      </c>
      <c r="N250" s="189">
        <f t="shared" si="130"/>
        <v>0</v>
      </c>
      <c r="O250" s="244">
        <f t="shared" si="96"/>
        <v>0</v>
      </c>
      <c r="P250" s="115"/>
      <c r="Q250" s="116"/>
      <c r="R250" s="116"/>
    </row>
    <row r="251" spans="1:18" s="83" customFormat="1">
      <c r="A251" s="244">
        <f t="shared" ref="A251:I251" si="145">A68</f>
        <v>0</v>
      </c>
      <c r="B251" s="87">
        <f t="shared" si="145"/>
        <v>0</v>
      </c>
      <c r="C251" s="87">
        <f t="shared" si="145"/>
        <v>0</v>
      </c>
      <c r="D251" s="87">
        <f t="shared" si="145"/>
        <v>0</v>
      </c>
      <c r="E251" s="244">
        <f t="shared" si="145"/>
        <v>0</v>
      </c>
      <c r="F251" s="244">
        <f t="shared" si="145"/>
        <v>0</v>
      </c>
      <c r="G251" s="244">
        <f t="shared" si="145"/>
        <v>0</v>
      </c>
      <c r="H251" s="244">
        <f t="shared" si="145"/>
        <v>0</v>
      </c>
      <c r="I251" s="244">
        <f t="shared" si="145"/>
        <v>0</v>
      </c>
      <c r="J251" s="89">
        <f>J68*(1-'Форма ввода (консолид.ДС)'!$C$57)</f>
        <v>0</v>
      </c>
      <c r="K251" s="189">
        <f t="shared" si="128"/>
        <v>0</v>
      </c>
      <c r="L251" s="244">
        <f t="shared" si="95"/>
        <v>0</v>
      </c>
      <c r="M251" s="189">
        <f t="shared" si="129"/>
        <v>0</v>
      </c>
      <c r="N251" s="189">
        <f t="shared" si="130"/>
        <v>0</v>
      </c>
      <c r="O251" s="244">
        <f t="shared" si="96"/>
        <v>0</v>
      </c>
      <c r="P251" s="115"/>
      <c r="Q251" s="116"/>
      <c r="R251" s="116"/>
    </row>
    <row r="252" spans="1:18" s="83" customFormat="1">
      <c r="A252" s="244">
        <f t="shared" ref="A252:I252" si="146">A69</f>
        <v>0</v>
      </c>
      <c r="B252" s="87">
        <f t="shared" si="146"/>
        <v>0</v>
      </c>
      <c r="C252" s="87">
        <f t="shared" si="146"/>
        <v>0</v>
      </c>
      <c r="D252" s="87">
        <f t="shared" si="146"/>
        <v>0</v>
      </c>
      <c r="E252" s="244">
        <f t="shared" si="146"/>
        <v>0</v>
      </c>
      <c r="F252" s="244">
        <f t="shared" si="146"/>
        <v>0</v>
      </c>
      <c r="G252" s="244">
        <f t="shared" si="146"/>
        <v>0</v>
      </c>
      <c r="H252" s="244">
        <f t="shared" si="146"/>
        <v>0</v>
      </c>
      <c r="I252" s="244">
        <f t="shared" si="146"/>
        <v>0</v>
      </c>
      <c r="J252" s="89">
        <f>J69*(1-'Форма ввода (консолид.ДС)'!$C$57)</f>
        <v>0</v>
      </c>
      <c r="K252" s="189">
        <f t="shared" si="128"/>
        <v>0</v>
      </c>
      <c r="L252" s="244">
        <f t="shared" si="95"/>
        <v>0</v>
      </c>
      <c r="M252" s="189">
        <f t="shared" si="129"/>
        <v>0</v>
      </c>
      <c r="N252" s="189">
        <f t="shared" si="130"/>
        <v>0</v>
      </c>
      <c r="O252" s="244">
        <f t="shared" si="96"/>
        <v>0</v>
      </c>
      <c r="P252" s="115"/>
      <c r="Q252" s="116"/>
      <c r="R252" s="116"/>
    </row>
    <row r="253" spans="1:18" s="83" customFormat="1">
      <c r="A253" s="244">
        <f t="shared" ref="A253:I253" si="147">A70</f>
        <v>0</v>
      </c>
      <c r="B253" s="87">
        <f t="shared" si="147"/>
        <v>0</v>
      </c>
      <c r="C253" s="87">
        <f t="shared" si="147"/>
        <v>0</v>
      </c>
      <c r="D253" s="87">
        <f t="shared" si="147"/>
        <v>0</v>
      </c>
      <c r="E253" s="244">
        <f t="shared" si="147"/>
        <v>0</v>
      </c>
      <c r="F253" s="244">
        <f t="shared" si="147"/>
        <v>0</v>
      </c>
      <c r="G253" s="244">
        <f t="shared" si="147"/>
        <v>0</v>
      </c>
      <c r="H253" s="244">
        <f t="shared" si="147"/>
        <v>0</v>
      </c>
      <c r="I253" s="244">
        <f t="shared" si="147"/>
        <v>0</v>
      </c>
      <c r="J253" s="89">
        <f>J70*(1-'Форма ввода (консолид.ДС)'!$C$57)</f>
        <v>0</v>
      </c>
      <c r="K253" s="189">
        <f t="shared" si="128"/>
        <v>0</v>
      </c>
      <c r="L253" s="244">
        <f t="shared" si="95"/>
        <v>0</v>
      </c>
      <c r="M253" s="189">
        <f t="shared" si="129"/>
        <v>0</v>
      </c>
      <c r="N253" s="189">
        <f t="shared" si="130"/>
        <v>0</v>
      </c>
      <c r="O253" s="244">
        <f t="shared" si="96"/>
        <v>0</v>
      </c>
      <c r="P253" s="115"/>
      <c r="Q253" s="116"/>
      <c r="R253" s="116"/>
    </row>
    <row r="254" spans="1:18" s="83" customFormat="1">
      <c r="A254" s="244">
        <f t="shared" ref="A254:I254" si="148">A71</f>
        <v>0</v>
      </c>
      <c r="B254" s="87">
        <f t="shared" si="148"/>
        <v>0</v>
      </c>
      <c r="C254" s="87">
        <f t="shared" si="148"/>
        <v>0</v>
      </c>
      <c r="D254" s="87">
        <f t="shared" si="148"/>
        <v>0</v>
      </c>
      <c r="E254" s="244">
        <f t="shared" si="148"/>
        <v>0</v>
      </c>
      <c r="F254" s="244">
        <f t="shared" si="148"/>
        <v>0</v>
      </c>
      <c r="G254" s="244">
        <f t="shared" si="148"/>
        <v>0</v>
      </c>
      <c r="H254" s="244">
        <f t="shared" si="148"/>
        <v>0</v>
      </c>
      <c r="I254" s="244">
        <f t="shared" si="148"/>
        <v>0</v>
      </c>
      <c r="J254" s="89">
        <f>J71*(1-'Форма ввода (консолид.ДС)'!$C$57)</f>
        <v>0</v>
      </c>
      <c r="K254" s="189">
        <f t="shared" si="128"/>
        <v>0</v>
      </c>
      <c r="L254" s="244">
        <f t="shared" si="95"/>
        <v>0</v>
      </c>
      <c r="M254" s="189">
        <f t="shared" si="129"/>
        <v>0</v>
      </c>
      <c r="N254" s="189">
        <f t="shared" si="130"/>
        <v>0</v>
      </c>
      <c r="O254" s="244">
        <f t="shared" si="96"/>
        <v>0</v>
      </c>
      <c r="P254" s="115"/>
      <c r="Q254" s="116"/>
      <c r="R254" s="116"/>
    </row>
    <row r="255" spans="1:18" s="83" customFormat="1">
      <c r="A255" s="244">
        <f t="shared" ref="A255:I256" si="149">A72</f>
        <v>0</v>
      </c>
      <c r="B255" s="87">
        <f t="shared" si="149"/>
        <v>0</v>
      </c>
      <c r="C255" s="87">
        <f t="shared" si="149"/>
        <v>0</v>
      </c>
      <c r="D255" s="87">
        <f t="shared" si="149"/>
        <v>0</v>
      </c>
      <c r="E255" s="244">
        <f t="shared" si="149"/>
        <v>0</v>
      </c>
      <c r="F255" s="244">
        <f t="shared" si="149"/>
        <v>0</v>
      </c>
      <c r="G255" s="244">
        <f t="shared" si="149"/>
        <v>0</v>
      </c>
      <c r="H255" s="244">
        <f t="shared" si="149"/>
        <v>0</v>
      </c>
      <c r="I255" s="244">
        <f t="shared" si="149"/>
        <v>0</v>
      </c>
      <c r="J255" s="89">
        <f>J72*(1-'Форма ввода (консолид.ДС)'!$C$57)</f>
        <v>0</v>
      </c>
      <c r="K255" s="189">
        <f t="shared" si="128"/>
        <v>0</v>
      </c>
      <c r="L255" s="244">
        <f t="shared" ref="L255:L266" si="150">L72</f>
        <v>0</v>
      </c>
      <c r="M255" s="189">
        <f t="shared" si="129"/>
        <v>0</v>
      </c>
      <c r="N255" s="189">
        <f t="shared" si="130"/>
        <v>0</v>
      </c>
      <c r="O255" s="244">
        <f t="shared" ref="O255:O266" si="151">O72</f>
        <v>0</v>
      </c>
      <c r="P255" s="115"/>
      <c r="Q255" s="116"/>
      <c r="R255" s="116"/>
    </row>
    <row r="256" spans="1:18" s="83" customFormat="1">
      <c r="A256" s="94" t="str">
        <f t="shared" si="149"/>
        <v>ПОДЫТОГ :</v>
      </c>
      <c r="B256" s="236"/>
      <c r="C256" s="236"/>
      <c r="D256" s="236"/>
      <c r="E256" s="249"/>
      <c r="F256" s="249"/>
      <c r="G256" s="249"/>
      <c r="H256" s="249"/>
      <c r="I256" s="249"/>
      <c r="J256" s="246"/>
      <c r="K256" s="191">
        <f>SUM(K246:K255)</f>
        <v>0</v>
      </c>
      <c r="L256" s="250"/>
      <c r="M256" s="191">
        <f>SUM(M246:M255)</f>
        <v>0</v>
      </c>
      <c r="N256" s="191">
        <f>SUM(N246:N255)</f>
        <v>0</v>
      </c>
      <c r="O256" s="250"/>
      <c r="P256" s="115"/>
      <c r="Q256" s="116"/>
      <c r="R256" s="116"/>
    </row>
    <row r="257" spans="1:18" s="83" customFormat="1">
      <c r="A257" s="244">
        <f t="shared" ref="A257:I257" si="152">A74</f>
        <v>0</v>
      </c>
      <c r="B257" s="87">
        <f t="shared" si="152"/>
        <v>0</v>
      </c>
      <c r="C257" s="87">
        <f t="shared" si="152"/>
        <v>0</v>
      </c>
      <c r="D257" s="87">
        <f t="shared" si="152"/>
        <v>0</v>
      </c>
      <c r="E257" s="244">
        <f t="shared" si="152"/>
        <v>0</v>
      </c>
      <c r="F257" s="244">
        <f t="shared" si="152"/>
        <v>0</v>
      </c>
      <c r="G257" s="244">
        <f t="shared" si="152"/>
        <v>0</v>
      </c>
      <c r="H257" s="244">
        <f t="shared" si="152"/>
        <v>0</v>
      </c>
      <c r="I257" s="244">
        <f t="shared" si="152"/>
        <v>0</v>
      </c>
      <c r="J257" s="89">
        <f>J74*(1-'Форма ввода (консолид.ДС)'!$C$57)</f>
        <v>0</v>
      </c>
      <c r="K257" s="189">
        <f t="shared" si="128"/>
        <v>0</v>
      </c>
      <c r="L257" s="244">
        <f t="shared" si="150"/>
        <v>0</v>
      </c>
      <c r="M257" s="189">
        <f t="shared" si="129"/>
        <v>0</v>
      </c>
      <c r="N257" s="189">
        <f t="shared" si="130"/>
        <v>0</v>
      </c>
      <c r="O257" s="244">
        <f t="shared" si="151"/>
        <v>0</v>
      </c>
      <c r="P257" s="115"/>
      <c r="Q257" s="116"/>
      <c r="R257" s="116"/>
    </row>
    <row r="258" spans="1:18" s="83" customFormat="1">
      <c r="A258" s="244">
        <f t="shared" ref="A258:I258" si="153">A75</f>
        <v>0</v>
      </c>
      <c r="B258" s="87">
        <f t="shared" si="153"/>
        <v>0</v>
      </c>
      <c r="C258" s="87">
        <f t="shared" si="153"/>
        <v>0</v>
      </c>
      <c r="D258" s="87">
        <f t="shared" si="153"/>
        <v>0</v>
      </c>
      <c r="E258" s="244">
        <f t="shared" si="153"/>
        <v>0</v>
      </c>
      <c r="F258" s="244">
        <f t="shared" si="153"/>
        <v>0</v>
      </c>
      <c r="G258" s="244">
        <f t="shared" si="153"/>
        <v>0</v>
      </c>
      <c r="H258" s="244">
        <f t="shared" si="153"/>
        <v>0</v>
      </c>
      <c r="I258" s="244">
        <f t="shared" si="153"/>
        <v>0</v>
      </c>
      <c r="J258" s="89">
        <f>J75*(1-'Форма ввода (консолид.ДС)'!$C$57)</f>
        <v>0</v>
      </c>
      <c r="K258" s="189">
        <f t="shared" si="128"/>
        <v>0</v>
      </c>
      <c r="L258" s="244">
        <f t="shared" si="150"/>
        <v>0</v>
      </c>
      <c r="M258" s="189">
        <f t="shared" si="129"/>
        <v>0</v>
      </c>
      <c r="N258" s="189">
        <f t="shared" si="130"/>
        <v>0</v>
      </c>
      <c r="O258" s="244">
        <f t="shared" si="151"/>
        <v>0</v>
      </c>
      <c r="P258" s="115"/>
      <c r="Q258" s="116"/>
      <c r="R258" s="116"/>
    </row>
    <row r="259" spans="1:18" s="83" customFormat="1">
      <c r="A259" s="244">
        <f t="shared" ref="A259:I259" si="154">A76</f>
        <v>0</v>
      </c>
      <c r="B259" s="87">
        <f t="shared" si="154"/>
        <v>0</v>
      </c>
      <c r="C259" s="87">
        <f t="shared" si="154"/>
        <v>0</v>
      </c>
      <c r="D259" s="87">
        <f t="shared" si="154"/>
        <v>0</v>
      </c>
      <c r="E259" s="244">
        <f t="shared" si="154"/>
        <v>0</v>
      </c>
      <c r="F259" s="244">
        <f t="shared" si="154"/>
        <v>0</v>
      </c>
      <c r="G259" s="244">
        <f t="shared" si="154"/>
        <v>0</v>
      </c>
      <c r="H259" s="244">
        <f t="shared" si="154"/>
        <v>0</v>
      </c>
      <c r="I259" s="244">
        <f t="shared" si="154"/>
        <v>0</v>
      </c>
      <c r="J259" s="89">
        <f>J76*(1-'Форма ввода (консолид.ДС)'!$C$57)</f>
        <v>0</v>
      </c>
      <c r="K259" s="189">
        <f t="shared" si="128"/>
        <v>0</v>
      </c>
      <c r="L259" s="244">
        <f t="shared" si="150"/>
        <v>0</v>
      </c>
      <c r="M259" s="189">
        <f t="shared" si="129"/>
        <v>0</v>
      </c>
      <c r="N259" s="189">
        <f t="shared" si="130"/>
        <v>0</v>
      </c>
      <c r="O259" s="244">
        <f t="shared" si="151"/>
        <v>0</v>
      </c>
      <c r="P259" s="115"/>
      <c r="Q259" s="116"/>
      <c r="R259" s="116"/>
    </row>
    <row r="260" spans="1:18" s="83" customFormat="1">
      <c r="A260" s="244">
        <f t="shared" ref="A260:I260" si="155">A77</f>
        <v>0</v>
      </c>
      <c r="B260" s="87">
        <f t="shared" si="155"/>
        <v>0</v>
      </c>
      <c r="C260" s="87">
        <f t="shared" si="155"/>
        <v>0</v>
      </c>
      <c r="D260" s="87">
        <f t="shared" si="155"/>
        <v>0</v>
      </c>
      <c r="E260" s="244">
        <f t="shared" si="155"/>
        <v>0</v>
      </c>
      <c r="F260" s="244">
        <f t="shared" si="155"/>
        <v>0</v>
      </c>
      <c r="G260" s="244">
        <f t="shared" si="155"/>
        <v>0</v>
      </c>
      <c r="H260" s="244">
        <f t="shared" si="155"/>
        <v>0</v>
      </c>
      <c r="I260" s="244">
        <f t="shared" si="155"/>
        <v>0</v>
      </c>
      <c r="J260" s="89">
        <f>J77*(1-'Форма ввода (консолид.ДС)'!$C$57)</f>
        <v>0</v>
      </c>
      <c r="K260" s="189">
        <f t="shared" si="128"/>
        <v>0</v>
      </c>
      <c r="L260" s="244">
        <f t="shared" si="150"/>
        <v>0</v>
      </c>
      <c r="M260" s="189">
        <f t="shared" si="129"/>
        <v>0</v>
      </c>
      <c r="N260" s="189">
        <f t="shared" si="130"/>
        <v>0</v>
      </c>
      <c r="O260" s="244">
        <f t="shared" si="151"/>
        <v>0</v>
      </c>
      <c r="P260" s="115"/>
      <c r="Q260" s="116"/>
      <c r="R260" s="116"/>
    </row>
    <row r="261" spans="1:18" s="83" customFormat="1">
      <c r="A261" s="244">
        <f t="shared" ref="A261:I261" si="156">A78</f>
        <v>0</v>
      </c>
      <c r="B261" s="87">
        <f t="shared" si="156"/>
        <v>0</v>
      </c>
      <c r="C261" s="87">
        <f t="shared" si="156"/>
        <v>0</v>
      </c>
      <c r="D261" s="87">
        <f t="shared" si="156"/>
        <v>0</v>
      </c>
      <c r="E261" s="244">
        <f t="shared" si="156"/>
        <v>0</v>
      </c>
      <c r="F261" s="244">
        <f t="shared" si="156"/>
        <v>0</v>
      </c>
      <c r="G261" s="244">
        <f t="shared" si="156"/>
        <v>0</v>
      </c>
      <c r="H261" s="244">
        <f t="shared" si="156"/>
        <v>0</v>
      </c>
      <c r="I261" s="244">
        <f t="shared" si="156"/>
        <v>0</v>
      </c>
      <c r="J261" s="89">
        <f>J78*(1-'Форма ввода (консолид.ДС)'!$C$57)</f>
        <v>0</v>
      </c>
      <c r="K261" s="189">
        <f t="shared" si="128"/>
        <v>0</v>
      </c>
      <c r="L261" s="244">
        <f t="shared" si="150"/>
        <v>0</v>
      </c>
      <c r="M261" s="189">
        <f t="shared" si="129"/>
        <v>0</v>
      </c>
      <c r="N261" s="189">
        <f t="shared" si="130"/>
        <v>0</v>
      </c>
      <c r="O261" s="244">
        <f t="shared" si="151"/>
        <v>0</v>
      </c>
      <c r="P261" s="115"/>
      <c r="Q261" s="116"/>
      <c r="R261" s="116"/>
    </row>
    <row r="262" spans="1:18" s="83" customFormat="1">
      <c r="A262" s="244">
        <f t="shared" ref="A262:I262" si="157">A79</f>
        <v>0</v>
      </c>
      <c r="B262" s="87">
        <f t="shared" si="157"/>
        <v>0</v>
      </c>
      <c r="C262" s="87">
        <f t="shared" si="157"/>
        <v>0</v>
      </c>
      <c r="D262" s="87">
        <f t="shared" si="157"/>
        <v>0</v>
      </c>
      <c r="E262" s="244">
        <f t="shared" si="157"/>
        <v>0</v>
      </c>
      <c r="F262" s="244">
        <f t="shared" si="157"/>
        <v>0</v>
      </c>
      <c r="G262" s="244">
        <f t="shared" si="157"/>
        <v>0</v>
      </c>
      <c r="H262" s="244">
        <f t="shared" si="157"/>
        <v>0</v>
      </c>
      <c r="I262" s="244">
        <f t="shared" si="157"/>
        <v>0</v>
      </c>
      <c r="J262" s="89">
        <f>J79*(1-'Форма ввода (консолид.ДС)'!$C$57)</f>
        <v>0</v>
      </c>
      <c r="K262" s="189">
        <f t="shared" si="128"/>
        <v>0</v>
      </c>
      <c r="L262" s="244">
        <f t="shared" si="150"/>
        <v>0</v>
      </c>
      <c r="M262" s="189">
        <f t="shared" si="129"/>
        <v>0</v>
      </c>
      <c r="N262" s="189">
        <f t="shared" si="130"/>
        <v>0</v>
      </c>
      <c r="O262" s="244">
        <f t="shared" si="151"/>
        <v>0</v>
      </c>
      <c r="P262" s="115"/>
      <c r="Q262" s="116"/>
      <c r="R262" s="116"/>
    </row>
    <row r="263" spans="1:18" s="83" customFormat="1">
      <c r="A263" s="244">
        <f t="shared" ref="A263:I263" si="158">A80</f>
        <v>0</v>
      </c>
      <c r="B263" s="87">
        <f t="shared" si="158"/>
        <v>0</v>
      </c>
      <c r="C263" s="87">
        <f t="shared" si="158"/>
        <v>0</v>
      </c>
      <c r="D263" s="87">
        <f t="shared" si="158"/>
        <v>0</v>
      </c>
      <c r="E263" s="244">
        <f t="shared" si="158"/>
        <v>0</v>
      </c>
      <c r="F263" s="244">
        <f t="shared" si="158"/>
        <v>0</v>
      </c>
      <c r="G263" s="244">
        <f t="shared" si="158"/>
        <v>0</v>
      </c>
      <c r="H263" s="244">
        <f t="shared" si="158"/>
        <v>0</v>
      </c>
      <c r="I263" s="244">
        <f t="shared" si="158"/>
        <v>0</v>
      </c>
      <c r="J263" s="89">
        <f>J80*(1-'Форма ввода (консолид.ДС)'!$C$57)</f>
        <v>0</v>
      </c>
      <c r="K263" s="189">
        <f t="shared" si="128"/>
        <v>0</v>
      </c>
      <c r="L263" s="244">
        <f t="shared" si="150"/>
        <v>0</v>
      </c>
      <c r="M263" s="189">
        <f t="shared" si="129"/>
        <v>0</v>
      </c>
      <c r="N263" s="189">
        <f t="shared" si="130"/>
        <v>0</v>
      </c>
      <c r="O263" s="244">
        <f t="shared" si="151"/>
        <v>0</v>
      </c>
      <c r="P263" s="115"/>
      <c r="Q263" s="116"/>
      <c r="R263" s="116"/>
    </row>
    <row r="264" spans="1:18" s="83" customFormat="1">
      <c r="A264" s="244">
        <f t="shared" ref="A264:I264" si="159">A81</f>
        <v>0</v>
      </c>
      <c r="B264" s="87">
        <f t="shared" si="159"/>
        <v>0</v>
      </c>
      <c r="C264" s="87">
        <f t="shared" si="159"/>
        <v>0</v>
      </c>
      <c r="D264" s="87">
        <f t="shared" si="159"/>
        <v>0</v>
      </c>
      <c r="E264" s="244">
        <f t="shared" si="159"/>
        <v>0</v>
      </c>
      <c r="F264" s="244">
        <f t="shared" si="159"/>
        <v>0</v>
      </c>
      <c r="G264" s="244">
        <f t="shared" si="159"/>
        <v>0</v>
      </c>
      <c r="H264" s="244">
        <f t="shared" si="159"/>
        <v>0</v>
      </c>
      <c r="I264" s="244">
        <f t="shared" si="159"/>
        <v>0</v>
      </c>
      <c r="J264" s="89">
        <f>J81*(1-'Форма ввода (консолид.ДС)'!$C$57)</f>
        <v>0</v>
      </c>
      <c r="K264" s="189">
        <f t="shared" si="128"/>
        <v>0</v>
      </c>
      <c r="L264" s="244">
        <f t="shared" si="150"/>
        <v>0</v>
      </c>
      <c r="M264" s="189">
        <f t="shared" si="129"/>
        <v>0</v>
      </c>
      <c r="N264" s="189">
        <f t="shared" si="130"/>
        <v>0</v>
      </c>
      <c r="O264" s="244">
        <f t="shared" si="151"/>
        <v>0</v>
      </c>
      <c r="P264" s="115"/>
      <c r="Q264" s="116"/>
      <c r="R264" s="116"/>
    </row>
    <row r="265" spans="1:18" s="83" customFormat="1">
      <c r="A265" s="244">
        <f t="shared" ref="A265:I265" si="160">A82</f>
        <v>0</v>
      </c>
      <c r="B265" s="87">
        <f t="shared" si="160"/>
        <v>0</v>
      </c>
      <c r="C265" s="87">
        <f t="shared" si="160"/>
        <v>0</v>
      </c>
      <c r="D265" s="87">
        <f t="shared" si="160"/>
        <v>0</v>
      </c>
      <c r="E265" s="244">
        <f t="shared" si="160"/>
        <v>0</v>
      </c>
      <c r="F265" s="244">
        <f t="shared" si="160"/>
        <v>0</v>
      </c>
      <c r="G265" s="244">
        <f t="shared" si="160"/>
        <v>0</v>
      </c>
      <c r="H265" s="244">
        <f t="shared" si="160"/>
        <v>0</v>
      </c>
      <c r="I265" s="244">
        <f t="shared" si="160"/>
        <v>0</v>
      </c>
      <c r="J265" s="89">
        <f>J82*(1-'Форма ввода (консолид.ДС)'!$C$57)</f>
        <v>0</v>
      </c>
      <c r="K265" s="189">
        <f t="shared" si="128"/>
        <v>0</v>
      </c>
      <c r="L265" s="244">
        <f t="shared" si="150"/>
        <v>0</v>
      </c>
      <c r="M265" s="189">
        <f t="shared" si="129"/>
        <v>0</v>
      </c>
      <c r="N265" s="189">
        <f t="shared" si="130"/>
        <v>0</v>
      </c>
      <c r="O265" s="244">
        <f t="shared" si="151"/>
        <v>0</v>
      </c>
      <c r="P265" s="115"/>
      <c r="Q265" s="116"/>
      <c r="R265" s="116"/>
    </row>
    <row r="266" spans="1:18" s="83" customFormat="1">
      <c r="A266" s="244">
        <f t="shared" ref="A266:I267" si="161">A83</f>
        <v>0</v>
      </c>
      <c r="B266" s="87">
        <f t="shared" si="161"/>
        <v>0</v>
      </c>
      <c r="C266" s="87">
        <f t="shared" si="161"/>
        <v>0</v>
      </c>
      <c r="D266" s="87">
        <f t="shared" si="161"/>
        <v>0</v>
      </c>
      <c r="E266" s="244">
        <f t="shared" si="161"/>
        <v>0</v>
      </c>
      <c r="F266" s="244">
        <f t="shared" si="161"/>
        <v>0</v>
      </c>
      <c r="G266" s="244">
        <f t="shared" si="161"/>
        <v>0</v>
      </c>
      <c r="H266" s="244">
        <f t="shared" si="161"/>
        <v>0</v>
      </c>
      <c r="I266" s="244">
        <f t="shared" si="161"/>
        <v>0</v>
      </c>
      <c r="J266" s="89">
        <f>J83*(1-'Форма ввода (консолид.ДС)'!$C$57)</f>
        <v>0</v>
      </c>
      <c r="K266" s="189">
        <f t="shared" si="128"/>
        <v>0</v>
      </c>
      <c r="L266" s="244">
        <f t="shared" si="150"/>
        <v>0</v>
      </c>
      <c r="M266" s="189">
        <f t="shared" si="129"/>
        <v>0</v>
      </c>
      <c r="N266" s="189">
        <f t="shared" si="130"/>
        <v>0</v>
      </c>
      <c r="O266" s="244">
        <f t="shared" si="151"/>
        <v>0</v>
      </c>
      <c r="P266" s="115"/>
      <c r="Q266" s="116"/>
      <c r="R266" s="116"/>
    </row>
    <row r="267" spans="1:18" s="83" customFormat="1">
      <c r="A267" s="94" t="str">
        <f t="shared" si="161"/>
        <v>ПОДЫТОГ :</v>
      </c>
      <c r="B267" s="236"/>
      <c r="C267" s="236"/>
      <c r="D267" s="236"/>
      <c r="E267" s="249"/>
      <c r="F267" s="249"/>
      <c r="G267" s="249"/>
      <c r="H267" s="249"/>
      <c r="I267" s="249"/>
      <c r="J267" s="246"/>
      <c r="K267" s="191">
        <f>SUM(K257:K266)</f>
        <v>0</v>
      </c>
      <c r="L267" s="250"/>
      <c r="M267" s="191">
        <f>SUM(M257:M266)</f>
        <v>0</v>
      </c>
      <c r="N267" s="191">
        <f>SUM(N257:N266)</f>
        <v>0</v>
      </c>
      <c r="O267" s="250"/>
      <c r="P267" s="115"/>
      <c r="Q267" s="116"/>
      <c r="R267" s="116"/>
    </row>
    <row r="268" spans="1:18">
      <c r="A268" s="117"/>
      <c r="B268" s="117"/>
      <c r="C268" s="117"/>
      <c r="D268" s="117"/>
      <c r="E268" s="117"/>
      <c r="F268" s="117"/>
      <c r="G268" s="118"/>
      <c r="H268" s="118"/>
      <c r="I268" s="118"/>
      <c r="J268" s="118"/>
      <c r="K268" s="119"/>
      <c r="L268" s="119"/>
      <c r="M268" s="118"/>
      <c r="N268" s="118"/>
      <c r="O268" s="118"/>
      <c r="P268" s="118"/>
      <c r="Q268" s="117"/>
      <c r="R268" s="117"/>
    </row>
    <row r="269" spans="1:18" ht="237.2" customHeight="1">
      <c r="A269" s="164" t="s">
        <v>41</v>
      </c>
      <c r="B269" s="327" t="s">
        <v>42</v>
      </c>
      <c r="C269" s="327"/>
      <c r="D269" s="327"/>
      <c r="E269" s="327"/>
      <c r="F269" s="327"/>
      <c r="G269" s="327"/>
      <c r="H269" s="327"/>
      <c r="I269" s="327"/>
      <c r="J269" s="327"/>
      <c r="K269" s="327"/>
      <c r="L269" s="327"/>
      <c r="M269" s="327"/>
      <c r="N269" s="327"/>
      <c r="O269" s="327"/>
      <c r="P269" s="327"/>
      <c r="Q269" s="327"/>
      <c r="R269" s="327"/>
    </row>
    <row r="270" spans="1:18" ht="30.2" customHeight="1">
      <c r="A270" s="158" t="str">
        <f>IF('Форма ввода (консолид.ДС)'!C55="нет","12.","13.")</f>
        <v>13.</v>
      </c>
      <c r="B270" s="330" t="s">
        <v>43</v>
      </c>
      <c r="C270" s="330"/>
      <c r="D270" s="330"/>
      <c r="E270" s="330"/>
      <c r="F270" s="330"/>
      <c r="G270" s="330"/>
      <c r="H270" s="330"/>
      <c r="I270" s="330"/>
      <c r="J270" s="330"/>
      <c r="K270" s="330"/>
      <c r="L270" s="330"/>
      <c r="M270" s="330"/>
      <c r="N270" s="330"/>
      <c r="O270" s="330"/>
      <c r="P270" s="330"/>
      <c r="Q270" s="330"/>
      <c r="R270" s="330"/>
    </row>
    <row r="271" spans="1:18" ht="30.6">
      <c r="A271" s="251" t="str">
        <f>IF('Форма ввода (консолид.ДС)'!C136="нет","12.1.","13.1.")</f>
        <v>13.1.</v>
      </c>
      <c r="B271" s="327" t="str">
        <f>IF('Форма ввода (консолид.ДС)'!D59="+",CONCATENATE("Адрес для направления оригинала  настоящего дополнительного соглашения, подписанного Поставщиком: 
",'Форма ввода (консолид.ДС)'!C59)," ")</f>
        <v xml:space="preserve">Адрес для направления оригинала  настоящего дополнительного соглашения, подписанного Поставщиком: 
</v>
      </c>
      <c r="C271" s="327"/>
      <c r="D271" s="327"/>
      <c r="E271" s="327"/>
      <c r="F271" s="327"/>
      <c r="G271" s="327"/>
      <c r="H271" s="327"/>
      <c r="I271" s="327"/>
      <c r="J271" s="327"/>
      <c r="K271" s="327"/>
      <c r="L271" s="327"/>
      <c r="M271" s="327"/>
      <c r="N271" s="327"/>
      <c r="O271" s="327"/>
      <c r="P271" s="327"/>
      <c r="Q271" s="327"/>
      <c r="R271" s="327"/>
    </row>
    <row r="272" spans="1:18" ht="30.6">
      <c r="A272" s="251" t="str">
        <f>IF('Форма ввода (консолид.ДС)'!C137="нет","12.2.","13.2.")</f>
        <v>13.2.</v>
      </c>
      <c r="B272" s="327" t="str">
        <f>IF('Форма ввода (консолид.ДС)'!D60="+",CONCATENATE("Адрес для направления оригинала  настоящего дополнительного соглашения, подписанного Покупателем: 
",'Форма ввода (консолид.ДС)'!C60)," ")</f>
        <v xml:space="preserve">Адрес для направления оригинала  настоящего дополнительного соглашения, подписанного Покупателем: 
</v>
      </c>
      <c r="C272" s="327"/>
      <c r="D272" s="327"/>
      <c r="E272" s="327"/>
      <c r="F272" s="327"/>
      <c r="G272" s="327"/>
      <c r="H272" s="327"/>
      <c r="I272" s="327"/>
      <c r="J272" s="327"/>
      <c r="K272" s="327"/>
      <c r="L272" s="327"/>
      <c r="M272" s="327"/>
      <c r="N272" s="327"/>
      <c r="O272" s="327"/>
      <c r="P272" s="327"/>
      <c r="Q272" s="327"/>
      <c r="R272" s="327"/>
    </row>
    <row r="273" spans="1:18" ht="30.6">
      <c r="A273" s="251" t="str">
        <f>IF('Форма ввода (консолид.ДС)'!C138="нет","12.3.","13.3.")</f>
        <v>13.3.</v>
      </c>
      <c r="B273" s="388" t="str">
        <f>IF('Форма ввода (консолид.ДС)'!D61="+","Поставщик обязан наряду с прочими относящимися к Товару документами передать Покупателю одновременно с передачей Товара следующие документы:"," ")</f>
        <v>Поставщик обязан наряду с прочими относящимися к Товару документами передать Покупателю одновременно с передачей Товара следующие документы:</v>
      </c>
      <c r="C273" s="388"/>
      <c r="D273" s="388"/>
      <c r="E273" s="388"/>
      <c r="F273" s="388"/>
      <c r="G273" s="388"/>
      <c r="H273" s="388"/>
      <c r="I273" s="388"/>
      <c r="J273" s="388"/>
      <c r="K273" s="388"/>
      <c r="L273" s="388"/>
      <c r="M273" s="388"/>
      <c r="N273" s="388"/>
      <c r="O273" s="388"/>
      <c r="P273" s="388"/>
      <c r="Q273" s="388"/>
      <c r="R273" s="388"/>
    </row>
    <row r="274" spans="1:18" ht="30.6">
      <c r="A274" s="251"/>
      <c r="B274" s="388" t="s">
        <v>44</v>
      </c>
      <c r="C274" s="390"/>
      <c r="D274" s="309"/>
      <c r="E274" s="309"/>
      <c r="F274" s="309"/>
      <c r="G274" s="309"/>
      <c r="H274" s="309"/>
      <c r="I274" s="309"/>
      <c r="J274" s="309"/>
      <c r="K274" s="309"/>
      <c r="L274" s="309"/>
      <c r="M274" s="309"/>
      <c r="N274" s="309"/>
      <c r="O274" s="309"/>
      <c r="P274" s="309"/>
      <c r="Q274" s="309"/>
      <c r="R274" s="309"/>
    </row>
    <row r="275" spans="1:18" ht="131.25" customHeight="1">
      <c r="A275" s="251"/>
      <c r="B275" s="388" t="str">
        <f>IF('Форма ввода (консолид.ДС)'!D62="+",'Форма ввода (консолид.ДС)'!C63&amp;CHAR(10)&amp;'Форма ввода (консолид.ДС)'!C64&amp;CHAR(10)&amp;'Форма ввода (консолид.ДС)'!C65&amp;CHAR(10)&amp;'Форма ввода (консолид.ДС)'!C66&amp;CHAR(10)&amp;'Форма ввода (консолид.ДС)'!C67,"")</f>
        <v xml:space="preserve">УПД
Товарно-транспортная накладная
Накладная по форме ТОРГ-12, счет-фактура
</v>
      </c>
      <c r="C275" s="390"/>
      <c r="D275" s="390"/>
      <c r="E275" s="309"/>
      <c r="F275" s="309"/>
      <c r="G275" s="309"/>
      <c r="H275" s="309"/>
      <c r="I275" s="309"/>
      <c r="J275" s="309"/>
      <c r="K275" s="309"/>
      <c r="L275" s="309"/>
      <c r="M275" s="309"/>
      <c r="N275" s="309"/>
      <c r="O275" s="309"/>
      <c r="P275" s="309"/>
      <c r="Q275" s="309"/>
      <c r="R275" s="309"/>
    </row>
    <row r="276" spans="1:18" ht="30.6">
      <c r="A276" s="251"/>
      <c r="B276" s="388" t="s">
        <v>45</v>
      </c>
      <c r="C276" s="390"/>
      <c r="D276" s="390"/>
      <c r="E276" s="309"/>
      <c r="F276" s="309"/>
      <c r="G276" s="309"/>
      <c r="H276" s="309"/>
      <c r="I276" s="309"/>
      <c r="J276" s="309"/>
      <c r="K276" s="309"/>
      <c r="L276" s="309"/>
      <c r="M276" s="309"/>
      <c r="N276" s="309"/>
      <c r="O276" s="309"/>
      <c r="P276" s="309"/>
      <c r="Q276" s="309"/>
      <c r="R276" s="309"/>
    </row>
    <row r="277" spans="1:18" ht="95.25" customHeight="1">
      <c r="A277" s="251"/>
      <c r="B277" s="388" t="str">
        <f>IF('Форма ввода (консолид.ДС)'!D68="+",'Форма ввода (консолид.ДС)'!C69&amp;CHAR(10)&amp;'Форма ввода (консолид.ДС)'!C70&amp;CHAR(10)&amp;'Форма ввода (консолид.ДС)'!C71&amp;CHAR(10)&amp;'Форма ввода (консолид.ДС)'!C72&amp;CHAR(10)&amp;'Форма ввода (консолид.ДС)'!C73,"")</f>
        <v xml:space="preserve">Сертификат (паспорт) качества
</v>
      </c>
      <c r="C277" s="388"/>
      <c r="D277" s="388"/>
      <c r="E277" s="388"/>
      <c r="F277" s="388"/>
      <c r="G277" s="388"/>
      <c r="H277" s="388"/>
      <c r="I277" s="388"/>
      <c r="J277" s="388"/>
      <c r="K277" s="388"/>
      <c r="L277" s="388"/>
      <c r="M277" s="388"/>
      <c r="N277" s="388"/>
      <c r="O277" s="388"/>
      <c r="P277" s="388"/>
      <c r="Q277" s="388"/>
      <c r="R277" s="388"/>
    </row>
    <row r="278" spans="1:18" ht="30.6">
      <c r="A278" s="251" t="str">
        <f>IF('Форма ввода (консолид.ДС)'!C140="нет","12.4.","13.4.")</f>
        <v>13.4.</v>
      </c>
      <c r="B278" s="327" t="str">
        <f>IF('Форма ввода (консолид.ДС)'!D76="+",CONCATENATE('Форма ввода (консолид.ДС)'!B76,"
",'Форма ввода (консолид.ДС)'!C76)," ")</f>
        <v xml:space="preserve">Требование к упаковке Товара:
</v>
      </c>
      <c r="C278" s="327"/>
      <c r="D278" s="327"/>
      <c r="E278" s="327"/>
      <c r="F278" s="327"/>
      <c r="G278" s="327"/>
      <c r="H278" s="327"/>
      <c r="I278" s="327"/>
      <c r="J278" s="327"/>
      <c r="K278" s="327"/>
      <c r="L278" s="327"/>
      <c r="M278" s="327"/>
      <c r="N278" s="327"/>
      <c r="O278" s="327"/>
      <c r="P278" s="327"/>
      <c r="Q278" s="327"/>
      <c r="R278" s="327"/>
    </row>
    <row r="279" spans="1:18" ht="63" customHeight="1">
      <c r="A279" s="251" t="str">
        <f>IF('Форма ввода (консолид.ДС)'!C141="нет","12.4.","13.4.")</f>
        <v>13.4.</v>
      </c>
      <c r="B279" s="327" t="str">
        <f>IF('Форма ввода (консолид.ДС)'!D77="+",'Форма ввода (консолид.ДС)'!C77," ")</f>
        <v>Поставщик обязан посредством электронной почты, указанной в п.10 настоящего дополнительного соглашения, сообщить Покупателю в о прохождении следующих контрольных точек поставки Товара:</v>
      </c>
      <c r="C279" s="327"/>
      <c r="D279" s="327"/>
      <c r="E279" s="327"/>
      <c r="F279" s="327"/>
      <c r="G279" s="327"/>
      <c r="H279" s="327"/>
      <c r="I279" s="327"/>
      <c r="J279" s="327"/>
      <c r="K279" s="327"/>
      <c r="L279" s="327"/>
      <c r="M279" s="327"/>
      <c r="N279" s="327"/>
      <c r="O279" s="327"/>
      <c r="P279" s="327"/>
      <c r="Q279" s="327"/>
      <c r="R279" s="327"/>
    </row>
    <row r="280" spans="1:18" ht="30.6">
      <c r="A280" s="251" t="str">
        <f>IF('Форма ввода (консолид.ДС)'!C142="нет","12.4.1.","13.4.1.")</f>
        <v>13.4.1.</v>
      </c>
      <c r="B280" s="327" t="str">
        <f>IF('Форма ввода (консолид.ДС)'!D78="+",'Форма ввода (консолид.ДС)'!C78," ")</f>
        <v>- Заказ принят.</v>
      </c>
      <c r="C280" s="327"/>
      <c r="D280" s="327"/>
      <c r="E280" s="327"/>
      <c r="F280" s="327"/>
      <c r="G280" s="327"/>
      <c r="H280" s="327"/>
      <c r="I280" s="327"/>
      <c r="J280" s="327"/>
      <c r="K280" s="327"/>
      <c r="L280" s="327"/>
      <c r="M280" s="327"/>
      <c r="N280" s="327"/>
      <c r="O280" s="327"/>
      <c r="P280" s="327"/>
      <c r="Q280" s="327"/>
      <c r="R280" s="327"/>
    </row>
    <row r="281" spans="1:18" ht="30.75" customHeight="1">
      <c r="A281" s="251" t="str">
        <f>IF('Форма ввода (консолид.ДС)'!C143="нет","12.4.2.","13.4.2.")</f>
        <v>13.4.2.</v>
      </c>
      <c r="B281" s="327" t="str">
        <f>IF('Форма ввода (консолид.ДС)'!D79="+",'Форма ввода (консолид.ДС)'!C79," ")</f>
        <v>- Сырье куплено.</v>
      </c>
      <c r="C281" s="327"/>
      <c r="D281" s="327"/>
      <c r="E281" s="327"/>
      <c r="F281" s="327"/>
      <c r="G281" s="327"/>
      <c r="H281" s="327"/>
      <c r="I281" s="327"/>
      <c r="J281" s="327"/>
      <c r="K281" s="327"/>
      <c r="L281" s="327"/>
      <c r="M281" s="327"/>
      <c r="N281" s="327"/>
      <c r="O281" s="327"/>
      <c r="P281" s="327"/>
      <c r="Q281" s="327"/>
      <c r="R281" s="327"/>
    </row>
    <row r="282" spans="1:18" ht="30.75" customHeight="1">
      <c r="A282" s="251" t="str">
        <f>IF('Форма ввода (консолид.ДС)'!C144="нет","12.4.3.","13.4.3.")</f>
        <v>13.4.3.</v>
      </c>
      <c r="B282" s="327" t="str">
        <f>IF('Форма ввода (консолид.ДС)'!D80="+",'Форма ввода (консолид.ДС)'!C80," ")</f>
        <v>- Заказ произведен/готов к отгрузке.</v>
      </c>
      <c r="C282" s="327"/>
      <c r="D282" s="327"/>
      <c r="E282" s="327"/>
      <c r="F282" s="327"/>
      <c r="G282" s="327"/>
      <c r="H282" s="327"/>
      <c r="I282" s="327"/>
      <c r="J282" s="327"/>
      <c r="K282" s="327"/>
      <c r="L282" s="327"/>
      <c r="M282" s="327"/>
      <c r="N282" s="327"/>
      <c r="O282" s="327"/>
      <c r="P282" s="327"/>
      <c r="Q282" s="327"/>
      <c r="R282" s="327"/>
    </row>
    <row r="283" spans="1:18" ht="30.6">
      <c r="A283" s="251" t="str">
        <f>IF('Форма ввода (консолид.ДС)'!C145="нет","12.4.4.","13.4.4.")</f>
        <v>13.4.4.</v>
      </c>
      <c r="B283" s="327" t="str">
        <f>IF('Форма ввода (консолид.ДС)'!D81="+",'Форма ввода (консолид.ДС)'!C81," ")</f>
        <v>- Отгружено.</v>
      </c>
      <c r="C283" s="327"/>
      <c r="D283" s="327"/>
      <c r="E283" s="327"/>
      <c r="F283" s="327"/>
      <c r="G283" s="327"/>
      <c r="H283" s="327"/>
      <c r="I283" s="327"/>
      <c r="J283" s="327"/>
      <c r="K283" s="327"/>
      <c r="L283" s="327"/>
      <c r="M283" s="327"/>
      <c r="N283" s="327"/>
      <c r="O283" s="327"/>
      <c r="P283" s="327"/>
      <c r="Q283" s="327"/>
      <c r="R283" s="327"/>
    </row>
    <row r="284" spans="1:18" ht="30.75" customHeight="1">
      <c r="A284" s="251" t="str">
        <f>IF('Форма ввода (консолид.ДС)'!C146="нет","12.4.5.","13.4.5.")</f>
        <v>13.4.5.</v>
      </c>
      <c r="B284" s="327" t="str">
        <f>IF('Форма ввода (консолид.ДС)'!D82="+",'Форма ввода (консолид.ДС)'!C82," ")</f>
        <v>- Погружено на судно.</v>
      </c>
      <c r="C284" s="327"/>
      <c r="D284" s="327"/>
      <c r="E284" s="327"/>
      <c r="F284" s="327"/>
      <c r="G284" s="327"/>
      <c r="H284" s="327"/>
      <c r="I284" s="327"/>
      <c r="J284" s="327"/>
      <c r="K284" s="327"/>
      <c r="L284" s="327"/>
      <c r="M284" s="327"/>
      <c r="N284" s="327"/>
      <c r="O284" s="327"/>
      <c r="P284" s="327"/>
      <c r="Q284" s="327"/>
      <c r="R284" s="327"/>
    </row>
    <row r="285" spans="1:18" ht="30.75" customHeight="1">
      <c r="A285" s="251" t="str">
        <f>IF('Форма ввода (консолид.ДС)'!C147="нет","12.4.6.","13.4.6.")</f>
        <v>13.4.6.</v>
      </c>
      <c r="B285" s="327" t="str">
        <f>IF('Форма ввода (консолид.ДС)'!D83="+",'Форма ввода (консолид.ДС)'!C83," ")</f>
        <v>- Погружен на авто.</v>
      </c>
      <c r="C285" s="327"/>
      <c r="D285" s="327"/>
      <c r="E285" s="327"/>
      <c r="F285" s="327"/>
      <c r="G285" s="327"/>
      <c r="H285" s="327"/>
      <c r="I285" s="327"/>
      <c r="J285" s="327"/>
      <c r="K285" s="327"/>
      <c r="L285" s="327"/>
      <c r="M285" s="327"/>
      <c r="N285" s="327"/>
      <c r="O285" s="327"/>
      <c r="P285" s="327"/>
      <c r="Q285" s="327"/>
      <c r="R285" s="327"/>
    </row>
    <row r="286" spans="1:18" ht="30.75" customHeight="1">
      <c r="A286" s="251" t="str">
        <f>IF('Форма ввода (консолид.ДС)'!C148="нет","12.4.7.","13.4.7.")</f>
        <v>13.4.7.</v>
      </c>
      <c r="B286" s="327" t="str">
        <f>IF('Форма ввода (консолид.ДС)'!D84="+",'Форма ввода (консолид.ДС)'!C84," ")</f>
        <v>- Прибыл на таможню.</v>
      </c>
      <c r="C286" s="327"/>
      <c r="D286" s="327"/>
      <c r="E286" s="327"/>
      <c r="F286" s="327"/>
      <c r="G286" s="327"/>
      <c r="H286" s="327"/>
      <c r="I286" s="327"/>
      <c r="J286" s="327"/>
      <c r="K286" s="327"/>
      <c r="L286" s="327"/>
      <c r="M286" s="327"/>
      <c r="N286" s="327"/>
      <c r="O286" s="327"/>
      <c r="P286" s="327"/>
      <c r="Q286" s="327"/>
      <c r="R286" s="327"/>
    </row>
    <row r="287" spans="1:18" ht="30.6">
      <c r="A287" s="251" t="str">
        <f>IF('Форма ввода (консолид.ДС)'!C149="нет","12.4.8.","13.4.8.")</f>
        <v>13.4.8.</v>
      </c>
      <c r="B287" s="327" t="str">
        <f>IF('Форма ввода (консолид.ДС)'!D85="+",'Форма ввода (консолид.ДС)'!C85," ")</f>
        <v>- Растаможен.</v>
      </c>
      <c r="C287" s="327"/>
      <c r="D287" s="327"/>
      <c r="E287" s="327"/>
      <c r="F287" s="327"/>
      <c r="G287" s="327"/>
      <c r="H287" s="327"/>
      <c r="I287" s="327"/>
      <c r="J287" s="327"/>
      <c r="K287" s="327"/>
      <c r="L287" s="327"/>
      <c r="M287" s="327"/>
      <c r="N287" s="327"/>
      <c r="O287" s="327"/>
      <c r="P287" s="327"/>
      <c r="Q287" s="327"/>
      <c r="R287" s="327"/>
    </row>
    <row r="288" spans="1:18" ht="30.6">
      <c r="A288" s="251" t="str">
        <f>IF('Форма ввода (консолид.ДС)'!C150="нет","12.4.9.","13.4.9.")</f>
        <v>13.4.9.</v>
      </c>
      <c r="B288" s="327" t="str">
        <f>IF('Форма ввода (консолид.ДС)'!D86="+",'Форма ввода (консолид.ДС)'!C86," ")</f>
        <v>- Погружен на поезд/авто.</v>
      </c>
      <c r="C288" s="327"/>
      <c r="D288" s="327"/>
      <c r="E288" s="327"/>
      <c r="F288" s="327"/>
      <c r="G288" s="327"/>
      <c r="H288" s="327"/>
      <c r="I288" s="327"/>
      <c r="J288" s="327"/>
      <c r="K288" s="327"/>
      <c r="L288" s="327"/>
      <c r="M288" s="327"/>
      <c r="N288" s="327"/>
      <c r="O288" s="327"/>
      <c r="P288" s="327"/>
      <c r="Q288" s="327"/>
      <c r="R288" s="327"/>
    </row>
    <row r="289" spans="1:19" ht="33.75" customHeight="1">
      <c r="A289" s="251" t="str">
        <f>IF('Форма ввода (консолид.ДС)'!C151="нет","12.4.10.","13.4.10.")</f>
        <v>13.4.10.</v>
      </c>
      <c r="B289" s="327" t="str">
        <f>IF('Форма ввода (консолид.ДС)'!D87="+",'Форма ввода (консолид.ДС)'!C87," ")</f>
        <v>- Доставлен.</v>
      </c>
      <c r="C289" s="327"/>
      <c r="D289" s="327"/>
      <c r="E289" s="327"/>
      <c r="F289" s="327"/>
      <c r="G289" s="327"/>
      <c r="H289" s="327"/>
      <c r="I289" s="327"/>
      <c r="J289" s="327"/>
      <c r="K289" s="327"/>
      <c r="L289" s="327"/>
      <c r="M289" s="327"/>
      <c r="N289" s="327"/>
      <c r="O289" s="327"/>
      <c r="P289" s="327"/>
      <c r="Q289" s="327"/>
      <c r="R289" s="327"/>
    </row>
    <row r="290" spans="1:19" ht="63" customHeight="1">
      <c r="A290" s="251" t="str">
        <f>IF('Форма ввода (консолид.ДС)'!C152="нет","12.5.","13.5.")</f>
        <v>13.5.</v>
      </c>
      <c r="B290" s="327" t="str">
        <f>IF('Форма ввода (консолид.ДС)'!D88="+",'Форма ввода (консолид.ДС)'!C88," ")</f>
        <v>При исполнении настоящего дополнительного соглашения допускается отклонение от согласованного Сторонами количества Товара (толеранс) в пределах +/-0% по отдельным позициям. 
При наличии расхождений по количеству Товара в пределах толеранса Сторонами производится доплата или возврат денежных средств не позднее 30 (тридцати) дней с даты поставки Товара.</v>
      </c>
      <c r="C290" s="327"/>
      <c r="D290" s="327"/>
      <c r="E290" s="327"/>
      <c r="F290" s="327"/>
      <c r="G290" s="327"/>
      <c r="H290" s="327"/>
      <c r="I290" s="327"/>
      <c r="J290" s="327"/>
      <c r="K290" s="327"/>
      <c r="L290" s="327"/>
      <c r="M290" s="327"/>
      <c r="N290" s="327"/>
      <c r="O290" s="327"/>
      <c r="P290" s="327"/>
      <c r="Q290" s="327"/>
      <c r="R290" s="327"/>
    </row>
    <row r="291" spans="1:19" ht="226.5" customHeight="1">
      <c r="A291" s="251" t="str">
        <f>IF('Форма ввода (консолид.ДС)'!C153="нет","12.6.","13.6.")</f>
        <v>13.6.</v>
      </c>
      <c r="B291" s="327" t="str">
        <f>IF('Форма ввода (консолид.ДС)'!D90="+",'Форма ввода (консолид.ДС)'!C90," ")</f>
        <v>В соответствии со ст. 429.3 ГК РФ Покупатель вправе в срок до 00 января 1900 года потребовать от Поставщика поставить дополнительный объем Товара, указанного в п. 1 настоящего дополнительного соглашения, в пределах 0% от количества, согласованного в настоящем дополнительном соглашении по каждой позиции. Требование Покупателя о поставке дополнительного объема Товара будет считаться заявленным в пределах указанного в настоящем пункте срока,если требование о поставке Товара будет отправлено Покупателем в адрес Поставщика до истечения предусмотренного настоящим пунктом срока. Настоящим стороны пришли к соглашению, что стоимость права требования Покупателя, предусмотренного настоящим пунктом, включена в стоимость Товара, указанную в настоящем дополнительном соглашении. В случае предъявления Покупателем требования, предусмотренного настоящим пунктом, Поставщик обязан в течение  календарных дней с даты направления Покупателем этого требования поставить Покупателю указанное в требовании Покупателя количество Товара по цене, не выше согласованной в п. 1 настоящего дополнительного соглашения цены и на условиях, предусмотренных Договором, а также настоящим дополнительным соглашением.</v>
      </c>
      <c r="C291" s="327"/>
      <c r="D291" s="327"/>
      <c r="E291" s="327"/>
      <c r="F291" s="327"/>
      <c r="G291" s="327"/>
      <c r="H291" s="327"/>
      <c r="I291" s="327"/>
      <c r="J291" s="327"/>
      <c r="K291" s="327"/>
      <c r="L291" s="327"/>
      <c r="M291" s="327"/>
      <c r="N291" s="327"/>
      <c r="O291" s="327"/>
      <c r="P291" s="327"/>
      <c r="Q291" s="327"/>
      <c r="R291" s="327"/>
    </row>
    <row r="292" spans="1:19" ht="34.5" customHeight="1">
      <c r="A292" s="251" t="str">
        <f>IF('Форма ввода (консолид.ДС)'!C154="нет","12.7.","13.7.")</f>
        <v>13.7.</v>
      </c>
      <c r="B292" s="327" t="str">
        <f>IF('Форма ввода (консолид.ДС)'!D95="+",'Форма ввода (консолид.ДС)'!C95," ")</f>
        <v>В случае законодательного изменения (уменьшения или увеличения) ставки НДС цена Товара изменяется (уменьшается или увеличивается) на соответствующую сумму изменения ставки НДС.</v>
      </c>
      <c r="C292" s="327"/>
      <c r="D292" s="327"/>
      <c r="E292" s="327"/>
      <c r="F292" s="327"/>
      <c r="G292" s="327"/>
      <c r="H292" s="327"/>
      <c r="I292" s="327"/>
      <c r="J292" s="327"/>
      <c r="K292" s="327"/>
      <c r="L292" s="327"/>
      <c r="M292" s="327"/>
      <c r="N292" s="327"/>
      <c r="O292" s="327"/>
      <c r="P292" s="327"/>
      <c r="Q292" s="327"/>
      <c r="R292" s="327"/>
    </row>
    <row r="293" spans="1:19" ht="101.45" customHeight="1">
      <c r="A293" s="251"/>
      <c r="B293" s="318" t="str">
        <f>IF(LEN('Форма ввода (консолид.ДС)'!C9)&gt;0,"В товарной накладной или УПД в строке «Основание» Поставщик обязан указывать после номера договорного документа в круглых скобках номера ДД и РО через запятую,"&amp;" указанные в соответствующем договорном документе (указаны в верхнем правом углу договорного документа либо перед таблицей с перечнем поставляемых Товаров)."&amp;" Под номером ДД Стороны понимают номер договорного документа, начинающийся на цифру " &amp; LEFT('Форма ввода (консолид.ДС)'!C9,2) &amp; " и содержащий " &amp; LEN('Форма ввода (консолид.ДС)'!C9) &amp; " знаков. Под номером PO Стороны понимают номер заказа на поставку (purchase order), начинающийся на цифру 45 и содержащий 10 знаков.","В товарной накладной или УПД в строке «Основание» Поставщик обязан указывать после номера договорного документа в круглых скобках номер РО,"&amp;" указанный в соответствующем договорном документе (указаны в верхнем правом углу договорного документа либо перед таблицей с перечнем поставляемых Товаров)."&amp;" Под номером PO Стороны понимают номер заказа на поставку (purchase order), начинающийся на цифру 00 и содержащий 11 знаков.")</f>
        <v>В товарной накладной или УПД в строке «Основание» Поставщик обязан указывать после номера договорного документа в круглых скобках номер РО, указанный в соответствующем договорном документе (указаны в верхнем правом углу договорного документа либо перед таблицей с перечнем поставляемых Товаров). Под номером PO Стороны понимают номер заказа на поставку (purchase order), начинающийся на цифру 00 и содержащий 11 знаков.</v>
      </c>
      <c r="C293" s="318"/>
      <c r="D293" s="318"/>
      <c r="E293" s="318"/>
      <c r="F293" s="318"/>
      <c r="G293" s="318"/>
      <c r="H293" s="318"/>
      <c r="I293" s="318"/>
      <c r="J293" s="318"/>
      <c r="K293" s="318"/>
      <c r="L293" s="318"/>
      <c r="M293" s="318"/>
      <c r="N293" s="318"/>
      <c r="O293" s="318"/>
      <c r="P293" s="318"/>
      <c r="Q293" s="165"/>
      <c r="R293" s="165"/>
    </row>
    <row r="294" spans="1:19" ht="38.65" customHeight="1">
      <c r="A294" s="251"/>
      <c r="B294" s="318" t="s">
        <v>46</v>
      </c>
      <c r="C294" s="318"/>
      <c r="D294" s="318"/>
      <c r="E294" s="318"/>
      <c r="F294" s="318"/>
      <c r="G294" s="318"/>
      <c r="H294" s="318"/>
      <c r="I294" s="318"/>
      <c r="J294" s="318"/>
      <c r="K294" s="318"/>
      <c r="L294" s="318"/>
      <c r="M294" s="318"/>
      <c r="N294" s="318"/>
      <c r="O294" s="318"/>
      <c r="P294" s="318"/>
      <c r="Q294" s="165"/>
      <c r="R294" s="165"/>
    </row>
    <row r="295" spans="1:19" ht="141.4" customHeight="1">
      <c r="A295" s="251"/>
      <c r="B295" s="318" t="str">
        <f>"В случае обмена первичными документами с использованием электронного документооборота:" &amp; CHAR(10) &amp; "-применяется Счет-фактура и документ об отгрузке товаров (выполнении работ), передаче имущественных прав (документ об оказании услуг) с функцией СЧФДОП, " &amp; "соответствующий универсальному передаточному документу (УПД), согласно форматам, утвержденным Приказом ФНС России" &amp; CHAR(10) &amp; "-номер" &amp; IF(LEN('Форма ввода (консолид.ДС)'!C9)&gt;0,"а ДД и "," ")&amp; "РО указываются в соответствующих тегах XML-файла:"</f>
        <v>В случае обмена первичными документами с использованием электронного документооборота:
-применяется Счет-фактура и документ об отгрузке товаров (выполнении работ), передаче имущественных прав (документ об оказании услуг) с функцией СЧФДОП, соответствующий универсальному передаточному документу (УПД), согласно форматам, утвержденным Приказом ФНС России
-номер РО указываются в соответствующих тегах XML-файла:</v>
      </c>
      <c r="C295" s="318"/>
      <c r="D295" s="318"/>
      <c r="E295" s="318"/>
      <c r="F295" s="318"/>
      <c r="G295" s="318"/>
      <c r="H295" s="318"/>
      <c r="I295" s="318"/>
      <c r="J295" s="318"/>
      <c r="K295" s="318"/>
      <c r="L295" s="318"/>
      <c r="M295" s="318"/>
      <c r="N295" s="318"/>
      <c r="O295" s="318"/>
      <c r="P295" s="318"/>
      <c r="Q295" s="165"/>
      <c r="R295" s="165"/>
    </row>
    <row r="296" spans="1:19" ht="60">
      <c r="A296" s="251"/>
      <c r="B296" s="313" t="s">
        <v>47</v>
      </c>
      <c r="C296" s="313" t="s">
        <v>48</v>
      </c>
      <c r="D296" s="313" t="s">
        <v>49</v>
      </c>
      <c r="E296" s="319" t="s">
        <v>50</v>
      </c>
      <c r="F296" s="320"/>
      <c r="G296" s="320"/>
      <c r="H296" s="320"/>
      <c r="I296" s="320"/>
      <c r="J296" s="320"/>
      <c r="K296" s="321"/>
      <c r="L296" s="168"/>
      <c r="M296" s="168"/>
      <c r="N296" s="168"/>
      <c r="O296" s="168"/>
      <c r="P296" s="168"/>
      <c r="Q296" s="165"/>
      <c r="R296" s="165"/>
    </row>
    <row r="297" spans="1:19" ht="91.5">
      <c r="A297" s="251"/>
      <c r="B297" s="314" t="s">
        <v>51</v>
      </c>
      <c r="C297" s="314" t="s">
        <v>52</v>
      </c>
      <c r="D297" s="314" t="s">
        <v>53</v>
      </c>
      <c r="E297" s="322" t="e">
        <f>"ДОГОВОР" &amp; CHAR(10) &amp; "N(" &amp; LEN('Форма ввода (консолид.ДС)'!C9) &amp; "), вида " &amp; LEFT('Форма ввода (консолид.ДС)'!C9,2) &amp; REPT("*",LEN('Форма ввода (консолид.ДС)'!C9)-2)</f>
        <v>#VALUE!</v>
      </c>
      <c r="F297" s="323"/>
      <c r="G297" s="323"/>
      <c r="H297" s="323"/>
      <c r="I297" s="323"/>
      <c r="J297" s="323"/>
      <c r="K297" s="324"/>
      <c r="L297" s="168"/>
      <c r="M297" s="168"/>
      <c r="N297" s="168"/>
      <c r="O297" s="168"/>
      <c r="P297" s="168"/>
      <c r="Q297" s="165"/>
      <c r="R297" s="165"/>
    </row>
    <row r="298" spans="1:19" ht="91.5">
      <c r="A298" s="251"/>
      <c r="B298" s="315" t="s">
        <v>54</v>
      </c>
      <c r="C298" s="314" t="s">
        <v>52</v>
      </c>
      <c r="D298" s="314" t="s">
        <v>53</v>
      </c>
      <c r="E298" s="322" t="str">
        <f>"ЗАКАЗ" &amp; CHAR(10) &amp; IF(LEN('Форма ввода (консолид.ДС)'!C9)&gt;0,"N(10), вида 45******** ","N(11), вида 00*********")</f>
        <v>ЗАКАЗ
N(11), вида 00*********</v>
      </c>
      <c r="F298" s="323"/>
      <c r="G298" s="323"/>
      <c r="H298" s="323"/>
      <c r="I298" s="323"/>
      <c r="J298" s="323"/>
      <c r="K298" s="324"/>
      <c r="L298" s="168"/>
      <c r="M298" s="168"/>
      <c r="N298" s="168"/>
      <c r="O298" s="168"/>
      <c r="P298" s="168"/>
      <c r="Q298" s="165"/>
      <c r="R298" s="165"/>
    </row>
    <row r="299" spans="1:19" ht="84.6" customHeight="1">
      <c r="A299" s="251"/>
      <c r="B299" s="316" t="s">
        <v>55</v>
      </c>
      <c r="C299" s="317"/>
      <c r="D299" s="317"/>
      <c r="E299" s="317"/>
      <c r="F299" s="317"/>
      <c r="G299" s="317"/>
      <c r="H299" s="317"/>
      <c r="I299" s="317"/>
      <c r="J299" s="317"/>
      <c r="K299" s="317"/>
      <c r="L299" s="317"/>
      <c r="M299" s="317"/>
      <c r="N299" s="317"/>
      <c r="O299" s="317"/>
      <c r="P299" s="317"/>
      <c r="Q299" s="165"/>
      <c r="R299" s="165"/>
    </row>
    <row r="300" spans="1:19" ht="100.15" customHeight="1">
      <c r="A300" s="251"/>
      <c r="B300" s="318" t="s">
        <v>56</v>
      </c>
      <c r="C300" s="318"/>
      <c r="D300" s="318"/>
      <c r="E300" s="318"/>
      <c r="F300" s="318"/>
      <c r="G300" s="318"/>
      <c r="H300" s="318"/>
      <c r="I300" s="318"/>
      <c r="J300" s="318"/>
      <c r="K300" s="318"/>
      <c r="L300" s="318"/>
      <c r="M300" s="318"/>
      <c r="N300" s="318"/>
      <c r="O300" s="318"/>
      <c r="P300" s="318"/>
      <c r="Q300" s="165"/>
      <c r="R300" s="165"/>
    </row>
    <row r="301" spans="1:19" ht="63" customHeight="1">
      <c r="A301" s="158" t="str">
        <f>IF('Форма ввода (консолид.ДС)'!C55="нет","13.","14.")</f>
        <v>14.</v>
      </c>
      <c r="B301" s="327" t="str">
        <f>CONCATENATE("Во всем остальном, что не предусмотрено настоящим дополнительным соглашением, действуют условия Договора поставки №",'Форма ввода (консолид.ДС)'!C4," от ",TEXT(DAY('Форма ввода (консолид.ДС)'!C5),"00")&amp;" "&amp;VLOOKUP(MONTH('Форма ввода (консолид.ДС)'!C5),Справочник!$D$2:$E$13,2,0)&amp;" "&amp;YEAR('Форма ввода (консолид.ДС)'!C5)&amp;" г.","Настоящее Дополнительное соглашение является неотъемлемой частью Договора и вступает в силу с момента его подписания Сторонами.")</f>
        <v>Во всем остальном, что не предусмотрено настоящим дополнительным соглашением, действуют условия Договора поставки № от 00 января 1900 г.Настоящее Дополнительное соглашение является неотъемлемой частью Договора и вступает в силу с момента его подписания Сторонами.</v>
      </c>
      <c r="C301" s="327"/>
      <c r="D301" s="327"/>
      <c r="E301" s="327"/>
      <c r="F301" s="327"/>
      <c r="G301" s="327"/>
      <c r="H301" s="327"/>
      <c r="I301" s="327"/>
      <c r="J301" s="327"/>
      <c r="K301" s="327"/>
      <c r="L301" s="327"/>
      <c r="M301" s="327"/>
      <c r="N301" s="327"/>
      <c r="O301" s="327"/>
      <c r="P301" s="327"/>
      <c r="Q301" s="327"/>
      <c r="R301" s="327"/>
    </row>
    <row r="302" spans="1:19" ht="136.15" customHeight="1">
      <c r="A302" s="158" t="str">
        <f>IF('Форма ввода (консолид.ДС)'!C97="нет","",IF('Форма ввода (консолид.ДС)'!C55="нет","14.","15."))</f>
        <v>15.</v>
      </c>
      <c r="B302" s="327" t="str">
        <f>IF('Форма ввода (консолид.ДС)'!C97="нет","",CONCATENATE("Перечень Приложений к настоящему Дополнительному Соглашению:
",'Форма ввода (консолид.ДС)'!C98))</f>
        <v>Перечень Приложений к настоящему Дополнительному Соглашению:
1. Перечень документации, предоставляемый Поставщиком
2. Гарантированные показатели Товара (если применимо)</v>
      </c>
      <c r="C302" s="327"/>
      <c r="D302" s="327"/>
      <c r="E302" s="327"/>
      <c r="F302" s="327"/>
      <c r="G302" s="327"/>
      <c r="H302" s="327"/>
      <c r="I302" s="327"/>
      <c r="J302" s="327"/>
      <c r="K302" s="327"/>
      <c r="L302" s="327"/>
      <c r="M302" s="327"/>
      <c r="N302" s="327"/>
      <c r="O302" s="327"/>
      <c r="P302" s="327"/>
      <c r="Q302" s="327"/>
      <c r="R302" s="165"/>
      <c r="S302" s="131"/>
    </row>
    <row r="303" spans="1:19" ht="94.35" customHeight="1">
      <c r="A303" s="158"/>
      <c r="B303" s="327" t="s">
        <v>57</v>
      </c>
      <c r="C303" s="327"/>
      <c r="D303" s="327"/>
      <c r="E303" s="327"/>
      <c r="F303" s="327"/>
      <c r="G303" s="327"/>
      <c r="H303" s="327"/>
      <c r="I303" s="327"/>
      <c r="J303" s="327"/>
      <c r="K303" s="327"/>
      <c r="L303" s="327"/>
      <c r="M303" s="327"/>
      <c r="N303" s="327"/>
      <c r="O303" s="327"/>
      <c r="P303" s="327"/>
      <c r="Q303" s="327"/>
      <c r="R303" s="327"/>
    </row>
    <row r="304" spans="1:19" ht="58.7" customHeight="1">
      <c r="B304" s="375" t="str">
        <f>IF(AND('Форма ввода (консолид.ДС)'!C55="нет",'Форма ввода (консолид.ДС)'!C97="нет"),"14. Подписи Сторон",IF(OR('Форма ввода (консолид.ДС)'!C55="нет",'Форма ввода (консолид.ДС)'!C97="нет"),"15. Подписи Сторон","16. Подписи Сторон"))</f>
        <v>16. Подписи Сторон</v>
      </c>
      <c r="C304" s="375"/>
      <c r="D304" s="375"/>
      <c r="E304" s="375"/>
      <c r="F304" s="375"/>
      <c r="G304" s="375"/>
      <c r="H304" s="375"/>
      <c r="I304" s="375"/>
      <c r="J304" s="375"/>
      <c r="K304" s="375"/>
      <c r="L304" s="375"/>
      <c r="M304" s="375"/>
      <c r="N304" s="375"/>
      <c r="O304" s="375"/>
      <c r="P304" s="375"/>
      <c r="Q304" s="375"/>
      <c r="R304" s="375"/>
    </row>
    <row r="305" spans="1:18" ht="30.6">
      <c r="A305" s="151"/>
      <c r="B305" s="378" t="s">
        <v>58</v>
      </c>
      <c r="C305" s="379"/>
      <c r="D305" s="379"/>
      <c r="E305" s="379"/>
      <c r="F305" s="379"/>
      <c r="G305" s="379"/>
      <c r="H305" s="379"/>
      <c r="I305" s="380"/>
      <c r="J305" s="376" t="s">
        <v>59</v>
      </c>
      <c r="K305" s="376"/>
      <c r="L305" s="376"/>
      <c r="M305" s="376"/>
      <c r="N305" s="376"/>
      <c r="O305" s="376"/>
      <c r="P305" s="376"/>
      <c r="Q305" s="376"/>
      <c r="R305" s="377"/>
    </row>
    <row r="306" spans="1:18" ht="30.6">
      <c r="A306" s="151"/>
      <c r="B306" s="374">
        <f>'Форма ввода (консолид.ДС)'!C13</f>
        <v>0</v>
      </c>
      <c r="C306" s="325"/>
      <c r="D306" s="325"/>
      <c r="E306" s="325"/>
      <c r="F306" s="325"/>
      <c r="G306" s="325"/>
      <c r="H306" s="325"/>
      <c r="I306" s="204"/>
      <c r="J306" s="381">
        <f>'Форма ввода (консолид.ДС)'!C116</f>
        <v>0</v>
      </c>
      <c r="K306" s="382"/>
      <c r="L306" s="382"/>
      <c r="M306" s="382"/>
      <c r="N306" s="382"/>
      <c r="O306" s="382"/>
      <c r="P306" s="382"/>
      <c r="Q306" s="382"/>
      <c r="R306" s="383"/>
    </row>
    <row r="307" spans="1:18" ht="30.6">
      <c r="A307" s="151"/>
      <c r="B307" s="351" t="str">
        <f>CONCATENATE("ИНН ",'Форма ввода (консолид.ДС)'!C103)</f>
        <v xml:space="preserve">ИНН </v>
      </c>
      <c r="C307" s="340"/>
      <c r="D307" s="340"/>
      <c r="E307" s="340"/>
      <c r="F307" s="340"/>
      <c r="G307" s="340"/>
      <c r="H307" s="340"/>
      <c r="I307" s="205"/>
      <c r="J307" s="384"/>
      <c r="K307" s="385"/>
      <c r="L307" s="385"/>
      <c r="M307" s="385"/>
      <c r="N307" s="385"/>
      <c r="O307" s="385"/>
      <c r="P307" s="385"/>
      <c r="Q307" s="385"/>
      <c r="R307" s="386"/>
    </row>
    <row r="308" spans="1:18" ht="30.6">
      <c r="A308" s="151"/>
      <c r="B308" s="351" t="str">
        <f>CONCATENATE("КПП ",'Форма ввода (консолид.ДС)'!C104)</f>
        <v xml:space="preserve">КПП </v>
      </c>
      <c r="C308" s="340"/>
      <c r="D308" s="340"/>
      <c r="E308" s="340"/>
      <c r="F308" s="340"/>
      <c r="G308" s="340"/>
      <c r="H308" s="340"/>
      <c r="I308" s="205"/>
      <c r="J308" s="384"/>
      <c r="K308" s="385"/>
      <c r="L308" s="385"/>
      <c r="M308" s="385"/>
      <c r="N308" s="385"/>
      <c r="O308" s="385"/>
      <c r="P308" s="385"/>
      <c r="Q308" s="385"/>
      <c r="R308" s="386"/>
    </row>
    <row r="309" spans="1:18" ht="30.6">
      <c r="A309" s="151"/>
      <c r="B309" s="305" t="str">
        <f>CONCATENATE("ОГРН ",'Форма ввода (консолид.ДС)'!C109)</f>
        <v xml:space="preserve">ОГРН </v>
      </c>
      <c r="C309" s="304"/>
      <c r="D309" s="304"/>
      <c r="E309" s="304"/>
      <c r="F309" s="304"/>
      <c r="G309" s="304"/>
      <c r="H309" s="304"/>
      <c r="I309" s="205"/>
      <c r="J309" s="384"/>
      <c r="K309" s="385"/>
      <c r="L309" s="385"/>
      <c r="M309" s="385"/>
      <c r="N309" s="385"/>
      <c r="O309" s="385"/>
      <c r="P309" s="385"/>
      <c r="Q309" s="385"/>
      <c r="R309" s="386"/>
    </row>
    <row r="310" spans="1:18" s="80" customFormat="1" ht="30.75" customHeight="1">
      <c r="A310" s="167"/>
      <c r="B310" s="353" t="s">
        <v>60</v>
      </c>
      <c r="C310" s="354"/>
      <c r="D310" s="354"/>
      <c r="E310" s="354"/>
      <c r="F310" s="354"/>
      <c r="G310" s="354"/>
      <c r="H310" s="354"/>
      <c r="I310" s="206"/>
      <c r="J310" s="384"/>
      <c r="K310" s="385"/>
      <c r="L310" s="385"/>
      <c r="M310" s="385"/>
      <c r="N310" s="385"/>
      <c r="O310" s="385"/>
      <c r="P310" s="385"/>
      <c r="Q310" s="385"/>
      <c r="R310" s="386"/>
    </row>
    <row r="311" spans="1:18" s="107" customFormat="1" ht="30.6">
      <c r="A311" s="160"/>
      <c r="B311" s="351" t="str">
        <f>CONCATENATE("Наименование банка: ",'Форма ввода (консолид.ДС)'!C105)</f>
        <v xml:space="preserve">Наименование банка: </v>
      </c>
      <c r="C311" s="340"/>
      <c r="D311" s="340"/>
      <c r="E311" s="340"/>
      <c r="F311" s="340"/>
      <c r="G311" s="340"/>
      <c r="H311" s="340"/>
      <c r="I311" s="205"/>
      <c r="J311" s="384"/>
      <c r="K311" s="385"/>
      <c r="L311" s="385"/>
      <c r="M311" s="385"/>
      <c r="N311" s="385"/>
      <c r="O311" s="385"/>
      <c r="P311" s="385"/>
      <c r="Q311" s="385"/>
      <c r="R311" s="386"/>
    </row>
    <row r="312" spans="1:18" ht="30.6">
      <c r="A312" s="151"/>
      <c r="B312" s="351" t="str">
        <f>CONCATENATE("р/счет: ",'Форма ввода (консолид.ДС)'!C106)</f>
        <v xml:space="preserve">р/счет: </v>
      </c>
      <c r="C312" s="340"/>
      <c r="D312" s="340"/>
      <c r="E312" s="340"/>
      <c r="F312" s="340"/>
      <c r="G312" s="340"/>
      <c r="H312" s="340"/>
      <c r="I312" s="205"/>
      <c r="J312" s="384"/>
      <c r="K312" s="385"/>
      <c r="L312" s="385"/>
      <c r="M312" s="385"/>
      <c r="N312" s="385"/>
      <c r="O312" s="385"/>
      <c r="P312" s="385"/>
      <c r="Q312" s="385"/>
      <c r="R312" s="386"/>
    </row>
    <row r="313" spans="1:18" ht="30.6">
      <c r="A313" s="151"/>
      <c r="B313" s="356" t="str">
        <f>CONCATENATE("БИК: ",'Форма ввода (консолид.ДС)'!C107)</f>
        <v xml:space="preserve">БИК: </v>
      </c>
      <c r="C313" s="357"/>
      <c r="D313" s="357"/>
      <c r="E313" s="357"/>
      <c r="F313" s="357"/>
      <c r="G313" s="357"/>
      <c r="H313" s="357"/>
      <c r="I313" s="205"/>
      <c r="J313" s="384"/>
      <c r="K313" s="385"/>
      <c r="L313" s="385"/>
      <c r="M313" s="385"/>
      <c r="N313" s="385"/>
      <c r="O313" s="385"/>
      <c r="P313" s="385"/>
      <c r="Q313" s="385"/>
      <c r="R313" s="386"/>
    </row>
    <row r="314" spans="1:18" ht="30.6">
      <c r="A314" s="151"/>
      <c r="B314" s="351" t="str">
        <f>CONCATENATE("к/счет: ",'Форма ввода (консолид.ДС)'!C108)</f>
        <v xml:space="preserve">к/счет: </v>
      </c>
      <c r="C314" s="340"/>
      <c r="D314" s="340"/>
      <c r="E314" s="340"/>
      <c r="F314" s="340"/>
      <c r="G314" s="340"/>
      <c r="H314" s="340"/>
      <c r="I314" s="205"/>
      <c r="J314" s="384"/>
      <c r="K314" s="385"/>
      <c r="L314" s="385"/>
      <c r="M314" s="385"/>
      <c r="N314" s="385"/>
      <c r="O314" s="385"/>
      <c r="P314" s="385"/>
      <c r="Q314" s="385"/>
      <c r="R314" s="386"/>
    </row>
    <row r="315" spans="1:18" ht="60.75" customHeight="1">
      <c r="A315" s="151"/>
      <c r="B315" s="359" t="str">
        <f>CONCATENATE("__________________ / ",'Форма ввода (консолид.ДС)'!C110," /")</f>
        <v>__________________ /  /</v>
      </c>
      <c r="C315" s="360"/>
      <c r="D315" s="360"/>
      <c r="E315" s="360"/>
      <c r="F315" s="360"/>
      <c r="G315" s="360"/>
      <c r="H315" s="360"/>
      <c r="I315" s="207"/>
      <c r="J315" s="391" t="str">
        <f>IF('Форма ввода (консолид.ДС)'!C118="Альтернативное подписание","___________________/___________________________/",CONCATENATE("___________________ / ",'Форма ввода (консолид.ДС)'!C117," /"))</f>
        <v>___________________ /  /</v>
      </c>
      <c r="K315" s="392"/>
      <c r="L315" s="392"/>
      <c r="M315" s="392"/>
      <c r="N315" s="392"/>
      <c r="O315" s="392"/>
      <c r="P315" s="392"/>
      <c r="Q315" s="392"/>
      <c r="R315" s="393"/>
    </row>
    <row r="316" spans="1:18" ht="71.849999999999994" customHeight="1">
      <c r="A316" s="151"/>
      <c r="B316" s="362" t="str">
        <f>IFERROR(IF('Форма ввода (консолид.ДС)'!C111="ИП","",
IF('Форма ввода (консолид.ДС)'!C111="Договора управления",
CONCATENATE("на основании Договора управления № ",'Форма ввода (консолид.ДС)'!C112," 
от ",TEXT(DAY('Форма ввода (консолид.ДС)'!$C$113),"00")&amp;" "&amp;VLOOKUP(MONTH('Форма ввода (консолид.ДС)'!$C$113),Справочник!$D$2:$E$13,2,0)&amp;" "&amp;YEAR('Форма ввода (консолид.ДС)'!$C$113)&amp;" г. и устава."),
IF('Форма ввода (консолид.ДС)'!C111="Устава",
CONCATENATE("на основании ",'Форма ввода (консолид.ДС)'!C111,"."),
CONCATENATE("на основании ",'Форма ввода (консолид.ДС)'!C111," № ",'Форма ввода (консолид.ДС)'!C112," от ",TEXT(DAY('Форма ввода (консолид.ДС)'!$C$113),"00")&amp;" "&amp;VLOOKUP(MONTH('Форма ввода (консолид.ДС)'!$C$113),Справочник!$D$2:$E$13,2,0)&amp;" "&amp;YEAR('Форма ввода (консолид.ДС)'!$C$113)&amp;" г.")))), "Дату на форме ввода необходимо вводить в формате ДД.ММ.ГГГГ")</f>
        <v>на основании (Выпадающий список) №  от 00 января 1900 г.</v>
      </c>
      <c r="C316" s="363"/>
      <c r="D316" s="363"/>
      <c r="E316" s="363"/>
      <c r="F316" s="363"/>
      <c r="G316" s="363"/>
      <c r="H316" s="363"/>
      <c r="I316" s="364"/>
      <c r="J316" s="362" t="str">
        <f>IFERROR(IF('Форма ввода (консолид.ДС)'!C118="Устава",
CONCATENATE("на основании ",'Форма ввода (консолид.ДС)'!C118,"."),IF('Форма ввода (консолид.ДС)'!C118="Альтернативное подписание"," ",
CONCATENATE("на основании ",'Форма ввода (консолид.ДС)'!C118," № ",'Форма ввода (консолид.ДС)'!C119," от ",TEXT(DAY('Форма ввода (консолид.ДС)'!$C$120),"00")&amp;" "&amp;VLOOKUP(MONTH('Форма ввода (консолид.ДС)'!$C$120),Справочник!$D$2:$E$13,2,0)&amp;" "&amp;YEAR('Форма ввода (консолид.ДС)'!$C$120)&amp;" г."))), "Дату на форме ввода необходимо вводить в формате ДД.ММ.ГГГГ")</f>
        <v>на основании (Выпадающий список) №  от 00 января 1900 г.</v>
      </c>
      <c r="K316" s="363"/>
      <c r="L316" s="363"/>
      <c r="M316" s="363"/>
      <c r="N316" s="363"/>
      <c r="O316" s="363"/>
      <c r="P316" s="363"/>
      <c r="Q316" s="363"/>
      <c r="R316" s="364"/>
    </row>
    <row r="317" spans="1:18">
      <c r="B317" s="121"/>
      <c r="C317" s="109"/>
      <c r="D317" s="109"/>
      <c r="E317" s="109"/>
      <c r="F317" s="109"/>
      <c r="G317" s="109"/>
      <c r="H317" s="109"/>
      <c r="I317" s="109"/>
      <c r="J317" s="175" t="s">
        <v>61</v>
      </c>
      <c r="K317" s="109"/>
      <c r="L317" s="109"/>
    </row>
    <row r="318" spans="1:18">
      <c r="B318" s="121"/>
      <c r="K318" s="109"/>
      <c r="L318" s="109"/>
    </row>
  </sheetData>
  <sheetProtection algorithmName="SHA-512" hashValue="OOez3LmfWragndhbJ3LT83l556Laa1R+tApwQAOMavhN8pO2rX3BfS51wZ2uTXnbXHHPaQ8d4ir0tMFFj7EPEQ==" saltValue="mQ7/LN7ST1oo0HYaZcqhRg==" spinCount="100000" sheet="1" formatCells="0" formatColumns="0" formatRows="0" insertRows="0" deleteRows="0"/>
  <dataConsolidate/>
  <mergeCells count="80">
    <mergeCell ref="B274:C274"/>
    <mergeCell ref="B276:D276"/>
    <mergeCell ref="B275:D275"/>
    <mergeCell ref="B104:R104"/>
    <mergeCell ref="J316:R316"/>
    <mergeCell ref="J315:R315"/>
    <mergeCell ref="B316:I316"/>
    <mergeCell ref="B307:H307"/>
    <mergeCell ref="B308:H308"/>
    <mergeCell ref="B310:H310"/>
    <mergeCell ref="B311:H311"/>
    <mergeCell ref="B315:H315"/>
    <mergeCell ref="B312:H312"/>
    <mergeCell ref="B313:H313"/>
    <mergeCell ref="B314:H314"/>
    <mergeCell ref="B273:R273"/>
    <mergeCell ref="B277:R277"/>
    <mergeCell ref="B278:R278"/>
    <mergeCell ref="B279:R279"/>
    <mergeCell ref="B88:Q88"/>
    <mergeCell ref="B5:R5"/>
    <mergeCell ref="B90:R90"/>
    <mergeCell ref="B92:R92"/>
    <mergeCell ref="B96:R96"/>
    <mergeCell ref="B89:R89"/>
    <mergeCell ref="B91:R91"/>
    <mergeCell ref="B93:R93"/>
    <mergeCell ref="B94:R94"/>
    <mergeCell ref="B95:R95"/>
    <mergeCell ref="B105:R105"/>
    <mergeCell ref="B106:R106"/>
    <mergeCell ref="B270:R270"/>
    <mergeCell ref="A1:B1"/>
    <mergeCell ref="K1:Q1"/>
    <mergeCell ref="K2:Q2"/>
    <mergeCell ref="M4:Q4"/>
    <mergeCell ref="B6:Q6"/>
    <mergeCell ref="B271:R271"/>
    <mergeCell ref="B272:R272"/>
    <mergeCell ref="B107:R107"/>
    <mergeCell ref="B108:R108"/>
    <mergeCell ref="B109:R109"/>
    <mergeCell ref="B189:R189"/>
    <mergeCell ref="B269:R269"/>
    <mergeCell ref="B97:R97"/>
    <mergeCell ref="B103:R103"/>
    <mergeCell ref="B102:Q102"/>
    <mergeCell ref="B101:R101"/>
    <mergeCell ref="B100:R100"/>
    <mergeCell ref="B98:R98"/>
    <mergeCell ref="B99:R99"/>
    <mergeCell ref="B280:R280"/>
    <mergeCell ref="B281:R281"/>
    <mergeCell ref="B282:R282"/>
    <mergeCell ref="B283:R283"/>
    <mergeCell ref="B284:R284"/>
    <mergeCell ref="B285:R285"/>
    <mergeCell ref="B286:R286"/>
    <mergeCell ref="B287:R287"/>
    <mergeCell ref="B306:H306"/>
    <mergeCell ref="B301:R301"/>
    <mergeCell ref="B303:R303"/>
    <mergeCell ref="B304:R304"/>
    <mergeCell ref="J305:R305"/>
    <mergeCell ref="B302:Q302"/>
    <mergeCell ref="B291:R291"/>
    <mergeCell ref="B292:R292"/>
    <mergeCell ref="B305:I305"/>
    <mergeCell ref="B288:R288"/>
    <mergeCell ref="B289:R289"/>
    <mergeCell ref="B290:R290"/>
    <mergeCell ref="J306:R314"/>
    <mergeCell ref="E298:K298"/>
    <mergeCell ref="B299:P299"/>
    <mergeCell ref="B300:P300"/>
    <mergeCell ref="B293:P293"/>
    <mergeCell ref="B294:P294"/>
    <mergeCell ref="B295:P295"/>
    <mergeCell ref="E296:K296"/>
    <mergeCell ref="E297:K297"/>
  </mergeCells>
  <conditionalFormatting sqref="B47:F84">
    <cfRule type="expression" dxfId="38" priority="50" stopIfTrue="1">
      <formula>$B47=1</formula>
    </cfRule>
    <cfRule type="expression" dxfId="37" priority="51" stopIfTrue="1">
      <formula>$B47=2</formula>
    </cfRule>
  </conditionalFormatting>
  <conditionalFormatting sqref="B108">
    <cfRule type="cellIs" dxfId="36" priority="49" operator="equal">
      <formula>"Скройте пункт 13, 13.1, 13.2, 13.3."</formula>
    </cfRule>
  </conditionalFormatting>
  <conditionalFormatting sqref="A305:B316 A303:B303 S86:S87 A88:S88 A86:Q87 A1:S4 A5:B5 S5 A102:S102 A103:B109 S103:S109 A89:B101 S89:S101 A189:B189 S189 A269:B270 S269:S277 A302:S302 A301:B301 S279:S301 B304 S303:S316 I306:I314 J305 J315:J316 A84:S85 B271:B292 P19:R28 A19:N28 A29:S29 A40:S40 A30:N39 A51:S51 A41:N50 A62:S62 A52:N61 A73:S73 A63:N72 A74:N83 A6:S18 A110:S188 A190:S268">
    <cfRule type="containsText" dxfId="35" priority="48" operator="containsText" text="Выпадающий список">
      <formula>NOT(ISERROR(SEARCH("Выпадающий список",A1)))</formula>
    </cfRule>
  </conditionalFormatting>
  <conditionalFormatting sqref="B97">
    <cfRule type="containsText" dxfId="34" priority="47" operator="containsText" text="Выберите порядок оплаты">
      <formula>NOT(ISERROR(SEARCH("Выберите порядок оплаты",B97)))</formula>
    </cfRule>
  </conditionalFormatting>
  <conditionalFormatting sqref="S278">
    <cfRule type="containsText" dxfId="33" priority="45" operator="containsText" text="Выпадающий список">
      <formula>NOT(ISERROR(SEARCH("Выпадающий список",S278)))</formula>
    </cfRule>
  </conditionalFormatting>
  <conditionalFormatting sqref="B316 J316">
    <cfRule type="containsText" dxfId="32" priority="43" operator="containsText" text="Дату на форме ввода">
      <formula>NOT(ISERROR(SEARCH("Дату на форме ввода",B316)))</formula>
    </cfRule>
  </conditionalFormatting>
  <conditionalFormatting sqref="S19:S28">
    <cfRule type="containsText" dxfId="31" priority="41" operator="containsText" text="Выпадающий список">
      <formula>NOT(ISERROR(SEARCH("Выпадающий список",S19)))</formula>
    </cfRule>
  </conditionalFormatting>
  <conditionalFormatting sqref="Q30:R39">
    <cfRule type="containsText" dxfId="30" priority="40" operator="containsText" text="Выпадающий список">
      <formula>NOT(ISERROR(SEARCH("Выпадающий список",Q30)))</formula>
    </cfRule>
  </conditionalFormatting>
  <conditionalFormatting sqref="S30:S39">
    <cfRule type="containsText" dxfId="29" priority="39" operator="containsText" text="Выпадающий список">
      <formula>NOT(ISERROR(SEARCH("Выпадающий список",S30)))</formula>
    </cfRule>
  </conditionalFormatting>
  <conditionalFormatting sqref="Q41:R50">
    <cfRule type="containsText" dxfId="28" priority="38" operator="containsText" text="Выпадающий список">
      <formula>NOT(ISERROR(SEARCH("Выпадающий список",Q41)))</formula>
    </cfRule>
  </conditionalFormatting>
  <conditionalFormatting sqref="S41:S50">
    <cfRule type="containsText" dxfId="27" priority="37" operator="containsText" text="Выпадающий список">
      <formula>NOT(ISERROR(SEARCH("Выпадающий список",S41)))</formula>
    </cfRule>
  </conditionalFormatting>
  <conditionalFormatting sqref="Q52:R61">
    <cfRule type="containsText" dxfId="26" priority="36" operator="containsText" text="Выпадающий список">
      <formula>NOT(ISERROR(SEARCH("Выпадающий список",Q52)))</formula>
    </cfRule>
  </conditionalFormatting>
  <conditionalFormatting sqref="S52:S61">
    <cfRule type="containsText" dxfId="25" priority="35" operator="containsText" text="Выпадающий список">
      <formula>NOT(ISERROR(SEARCH("Выпадающий список",S52)))</formula>
    </cfRule>
  </conditionalFormatting>
  <conditionalFormatting sqref="Q63:R72">
    <cfRule type="containsText" dxfId="24" priority="34" operator="containsText" text="Выпадающий список">
      <formula>NOT(ISERROR(SEARCH("Выпадающий список",Q63)))</formula>
    </cfRule>
  </conditionalFormatting>
  <conditionalFormatting sqref="S63:S72">
    <cfRule type="containsText" dxfId="23" priority="33" operator="containsText" text="Выпадающий список">
      <formula>NOT(ISERROR(SEARCH("Выпадающий список",S63)))</formula>
    </cfRule>
  </conditionalFormatting>
  <conditionalFormatting sqref="Q74:R83">
    <cfRule type="containsText" dxfId="22" priority="32" operator="containsText" text="Выпадающий список">
      <formula>NOT(ISERROR(SEARCH("Выпадающий список",Q74)))</formula>
    </cfRule>
  </conditionalFormatting>
  <conditionalFormatting sqref="S74:S83">
    <cfRule type="containsText" dxfId="21" priority="31" operator="containsText" text="Выпадающий список">
      <formula>NOT(ISERROR(SEARCH("Выпадающий список",S74)))</formula>
    </cfRule>
  </conditionalFormatting>
  <conditionalFormatting sqref="A271:A277">
    <cfRule type="containsText" dxfId="20" priority="30" operator="containsText" text="Выпадающий список">
      <formula>NOT(ISERROR(SEARCH("Выпадающий список",A271)))</formula>
    </cfRule>
  </conditionalFormatting>
  <conditionalFormatting sqref="A278">
    <cfRule type="containsText" dxfId="19" priority="29" operator="containsText" text="Выпадающий список">
      <formula>NOT(ISERROR(SEARCH("Выпадающий список",A278)))</formula>
    </cfRule>
  </conditionalFormatting>
  <conditionalFormatting sqref="A279">
    <cfRule type="containsText" dxfId="18" priority="28" operator="containsText" text="Выпадающий список">
      <formula>NOT(ISERROR(SEARCH("Выпадающий список",A279)))</formula>
    </cfRule>
  </conditionalFormatting>
  <conditionalFormatting sqref="A280:A289">
    <cfRule type="containsText" dxfId="17" priority="27" operator="containsText" text="Выпадающий список">
      <formula>NOT(ISERROR(SEARCH("Выпадающий список",A280)))</formula>
    </cfRule>
  </conditionalFormatting>
  <conditionalFormatting sqref="A290">
    <cfRule type="containsText" dxfId="16" priority="26" operator="containsText" text="Выпадающий список">
      <formula>NOT(ISERROR(SEARCH("Выпадающий список",A290)))</formula>
    </cfRule>
  </conditionalFormatting>
  <conditionalFormatting sqref="A291">
    <cfRule type="containsText" dxfId="15" priority="25" operator="containsText" text="Выпадающий список">
      <formula>NOT(ISERROR(SEARCH("Выпадающий список",A291)))</formula>
    </cfRule>
  </conditionalFormatting>
  <conditionalFormatting sqref="A292:A300">
    <cfRule type="containsText" dxfId="14" priority="24" operator="containsText" text="Выпадающий список">
      <formula>NOT(ISERROR(SEARCH("Выпадающий список",A292)))</formula>
    </cfRule>
  </conditionalFormatting>
  <conditionalFormatting sqref="P30:P39">
    <cfRule type="containsText" dxfId="13" priority="23" operator="containsText" text="Выпадающий список">
      <formula>NOT(ISERROR(SEARCH("Выпадающий список",P30)))</formula>
    </cfRule>
  </conditionalFormatting>
  <conditionalFormatting sqref="P41:P50">
    <cfRule type="containsText" dxfId="12" priority="22" operator="containsText" text="Выпадающий список">
      <formula>NOT(ISERROR(SEARCH("Выпадающий список",P41)))</formula>
    </cfRule>
  </conditionalFormatting>
  <conditionalFormatting sqref="P52:P61">
    <cfRule type="containsText" dxfId="11" priority="21" operator="containsText" text="Выпадающий список">
      <formula>NOT(ISERROR(SEARCH("Выпадающий список",P52)))</formula>
    </cfRule>
  </conditionalFormatting>
  <conditionalFormatting sqref="P63:P72">
    <cfRule type="containsText" dxfId="10" priority="20" operator="containsText" text="Выпадающий список">
      <formula>NOT(ISERROR(SEARCH("Выпадающий список",P63)))</formula>
    </cfRule>
  </conditionalFormatting>
  <conditionalFormatting sqref="P74:P83">
    <cfRule type="containsText" dxfId="9" priority="19" operator="containsText" text="Выпадающий список">
      <formula>NOT(ISERROR(SEARCH("Выпадающий список",P74)))</formula>
    </cfRule>
  </conditionalFormatting>
  <conditionalFormatting sqref="O19:O28">
    <cfRule type="containsText" dxfId="8" priority="9" operator="containsText" text="Выпадающий список">
      <formula>NOT(ISERROR(SEARCH("Выпадающий список",O19)))</formula>
    </cfRule>
  </conditionalFormatting>
  <conditionalFormatting sqref="O30:O39">
    <cfRule type="containsText" dxfId="7" priority="8" operator="containsText" text="Выпадающий список">
      <formula>NOT(ISERROR(SEARCH("Выпадающий список",O30)))</formula>
    </cfRule>
  </conditionalFormatting>
  <conditionalFormatting sqref="O41:O50">
    <cfRule type="containsText" dxfId="6" priority="7" operator="containsText" text="Выпадающий список">
      <formula>NOT(ISERROR(SEARCH("Выпадающий список",O41)))</formula>
    </cfRule>
  </conditionalFormatting>
  <conditionalFormatting sqref="O52:O61">
    <cfRule type="containsText" dxfId="5" priority="6" operator="containsText" text="Выпадающий список">
      <formula>NOT(ISERROR(SEARCH("Выпадающий список",O52)))</formula>
    </cfRule>
  </conditionalFormatting>
  <conditionalFormatting sqref="O63:O72">
    <cfRule type="containsText" dxfId="4" priority="5" operator="containsText" text="Выпадающий список">
      <formula>NOT(ISERROR(SEARCH("Выпадающий список",O63)))</formula>
    </cfRule>
  </conditionalFormatting>
  <conditionalFormatting sqref="O74:O83">
    <cfRule type="containsText" dxfId="3" priority="4" operator="containsText" text="Выпадающий список">
      <formula>NOT(ISERROR(SEARCH("Выпадающий список",O74)))</formula>
    </cfRule>
  </conditionalFormatting>
  <conditionalFormatting sqref="B293:P300">
    <cfRule type="containsText" dxfId="2" priority="1" operator="containsText" text="(Выпадающий список)">
      <formula>NOT(ISERROR(SEARCH("(Выпадающий список)",B293)))</formula>
    </cfRule>
  </conditionalFormatting>
  <conditionalFormatting sqref="L296:P298 B293:B294 B300">
    <cfRule type="containsText" dxfId="1" priority="3" operator="containsText" text="Выпадающий список">
      <formula>NOT(ISERROR(SEARCH("Выпадающий список",B293)))</formula>
    </cfRule>
  </conditionalFormatting>
  <conditionalFormatting sqref="B295">
    <cfRule type="containsText" dxfId="0" priority="2" operator="containsText" text="Выпадающий список">
      <formula>NOT(ISERROR(SEARCH("Выпадающий список",B295)))</formula>
    </cfRule>
  </conditionalFormatting>
  <dataValidations count="6">
    <dataValidation allowBlank="1" showInputMessage="1" showErrorMessage="1" prompt="Внесите данные на вкладку &quot;Форма ввода&quot;_x000a_" sqref="B97" xr:uid="{00000000-0002-0000-0200-000000000000}"/>
    <dataValidation allowBlank="1" showInputMessage="1" showErrorMessage="1" prompt="Внесите %, если МТР не облагается НДС, то &quot;Без НДС&quot;" sqref="L8 L47:L50 L52:L61 L63:L72 L74:L83" xr:uid="{00000000-0002-0000-0200-000001000000}"/>
    <dataValidation allowBlank="1" showInputMessage="1" showErrorMessage="1" prompt="Внесите данные на вкладку &quot;Форма ввода&quot; п.5" sqref="Q7:R7" xr:uid="{00000000-0002-0000-0200-000002000000}"/>
    <dataValidation allowBlank="1" showInputMessage="1" showErrorMessage="1" prompt="Внесите данные на вкладку &quot;Форма ввода&quot;" sqref="B90 B99 B103 B101 B96 B277" xr:uid="{00000000-0002-0000-0200-000003000000}"/>
    <dataValidation allowBlank="1" showErrorMessage="1" sqref="R8:R85 Q8:Q84" xr:uid="{00000000-0002-0000-0200-000004000000}"/>
    <dataValidation type="list" allowBlank="1" showInputMessage="1" sqref="P8:P17 P19:P28 P30:P39 P41:P50 P52:P61 P63:P72 P74:P83" xr:uid="{00000000-0002-0000-0200-000005000000}">
      <formula1>IF(OR(O8="АО «СибурТюменьГаз»",O8="ООО «БИАКСПЛЕН»",O8="АО «Сибур-Нефтехим»"),INDIRECT("Грузополучатель_" &amp; $S8),T8)</formula1>
    </dataValidation>
  </dataValidations>
  <pageMargins left="0.78740157480314965" right="0.39370078740157483" top="0.55118110236220474" bottom="0.78740157480314965" header="0.39370078740157483" footer="0.51181102362204722"/>
  <pageSetup paperSize="9" scale="31" fitToHeight="0" orientation="landscape" r:id="rId1"/>
  <headerFooter alignWithMargins="0">
    <oddHeader>&amp;R&amp;"Times New Roman,обычный"&amp;12ЕУФ_ДС_04_51_09</oddHeader>
  </headerFooter>
  <customProperties>
    <customPr name="EpmWorksheetKeyString_GUID" r:id="rId2"/>
  </customProperties>
  <ignoredErrors>
    <ignoredError sqref="K201 M201:N201 K256 K212 M212:N212 M223:N223 K223 K234 M234:N234 M245:N245 K245 M256:N256 K176 M176:N176" formula="1"/>
    <ignoredError sqref="K8" unlockedFormula="1"/>
    <ignoredError sqref="T78" evalError="1"/>
  </ignoredError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6000000}">
          <x14:formula1>
            <xm:f>Справочник!$B$2:$B$62</xm:f>
          </x14:formula1>
          <xm:sqref>P85</xm:sqref>
        </x14:dataValidation>
        <x14:dataValidation type="list" allowBlank="1" showInputMessage="1" showErrorMessage="1" xr:uid="{00000000-0002-0000-0200-000007000000}">
          <x14:formula1>
            <xm:f>Справочник!$B$2:$B$38</xm:f>
          </x14:formula1>
          <xm:sqref>O8:O17 O19:O28 O30:O39 O41:O50 O52:O61 O63:O72 O74:O83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6">
    <tabColor rgb="FF008080"/>
  </sheetPr>
  <dimension ref="A1:N120"/>
  <sheetViews>
    <sheetView showGridLines="0" zoomScale="70" zoomScaleNormal="70" workbookViewId="0" xr3:uid="{51F8DEE0-4D01-5F28-A812-FC0BD7CAC4A5}">
      <pane xSplit="2" ySplit="2" topLeftCell="C3" activePane="bottomRight" state="frozen"/>
      <selection pane="bottomRight" activeCell="C6" sqref="C6"/>
      <selection pane="bottomLeft" activeCell="C21" sqref="C21"/>
      <selection pane="topRight" activeCell="C21" sqref="C21"/>
    </sheetView>
  </sheetViews>
  <sheetFormatPr defaultRowHeight="12.6" outlineLevelRow="1"/>
  <cols>
    <col min="1" max="1" width="7.5703125" style="26" customWidth="1"/>
    <col min="2" max="2" width="58.5703125" style="26" customWidth="1"/>
    <col min="3" max="3" width="127.42578125" style="26" customWidth="1"/>
    <col min="4" max="4" width="15.5703125" style="26" customWidth="1"/>
    <col min="5" max="5" width="10.28515625" style="26" bestFit="1" customWidth="1"/>
    <col min="6" max="9" width="9.140625" style="26"/>
  </cols>
  <sheetData>
    <row r="1" spans="1:9" ht="25.5" customHeight="1">
      <c r="B1" s="27" t="s">
        <v>62</v>
      </c>
    </row>
    <row r="2" spans="1:9" s="3" customFormat="1" ht="25.5" customHeight="1">
      <c r="A2" s="28" t="s">
        <v>63</v>
      </c>
      <c r="B2" s="29" t="s">
        <v>64</v>
      </c>
      <c r="C2" s="29" t="s">
        <v>65</v>
      </c>
      <c r="D2" s="28"/>
      <c r="E2" s="30"/>
      <c r="F2" s="30"/>
      <c r="G2" s="30"/>
      <c r="H2" s="30"/>
      <c r="I2" s="30"/>
    </row>
    <row r="3" spans="1:9" s="3" customFormat="1" ht="18.95" customHeight="1">
      <c r="A3" s="370" t="s">
        <v>66</v>
      </c>
      <c r="B3" s="371"/>
      <c r="C3" s="371"/>
      <c r="D3" s="31"/>
      <c r="E3" s="30"/>
      <c r="F3" s="30"/>
      <c r="G3" s="30"/>
      <c r="H3" s="30"/>
      <c r="I3" s="30"/>
    </row>
    <row r="4" spans="1:9" ht="12.95">
      <c r="A4" s="32" t="s">
        <v>67</v>
      </c>
      <c r="B4" s="32" t="s">
        <v>68</v>
      </c>
      <c r="C4" s="125"/>
      <c r="D4" s="33"/>
    </row>
    <row r="5" spans="1:9" ht="12.95">
      <c r="A5" s="32" t="s">
        <v>67</v>
      </c>
      <c r="B5" s="32" t="s">
        <v>69</v>
      </c>
      <c r="C5" s="47"/>
      <c r="D5" s="33"/>
    </row>
    <row r="6" spans="1:9" ht="12.95">
      <c r="A6" s="32" t="s">
        <v>67</v>
      </c>
      <c r="B6" s="32" t="s">
        <v>70</v>
      </c>
      <c r="C6" s="125"/>
      <c r="D6" s="33"/>
    </row>
    <row r="7" spans="1:9" ht="12.95">
      <c r="A7" s="32" t="s">
        <v>67</v>
      </c>
      <c r="B7" s="32" t="s">
        <v>71</v>
      </c>
      <c r="C7" s="47"/>
      <c r="D7" s="33"/>
    </row>
    <row r="8" spans="1:9" ht="12.95">
      <c r="A8" s="129" t="s">
        <v>67</v>
      </c>
      <c r="B8" s="129" t="s">
        <v>72</v>
      </c>
      <c r="C8" s="130"/>
      <c r="D8" s="75"/>
      <c r="E8"/>
      <c r="F8"/>
      <c r="G8"/>
      <c r="H8"/>
      <c r="I8"/>
    </row>
    <row r="9" spans="1:9" ht="12.95">
      <c r="A9" s="129" t="s">
        <v>67</v>
      </c>
      <c r="B9" s="129" t="s">
        <v>73</v>
      </c>
      <c r="C9" s="130"/>
      <c r="D9" s="75"/>
      <c r="E9"/>
      <c r="F9"/>
      <c r="G9"/>
      <c r="H9"/>
      <c r="I9"/>
    </row>
    <row r="10" spans="1:9" ht="12.95">
      <c r="A10" s="129" t="s">
        <v>67</v>
      </c>
      <c r="B10" s="129" t="s">
        <v>74</v>
      </c>
      <c r="C10" s="130"/>
      <c r="D10" s="75"/>
      <c r="E10"/>
      <c r="F10"/>
      <c r="G10"/>
      <c r="H10"/>
      <c r="I10"/>
    </row>
    <row r="11" spans="1:9" ht="12.95" hidden="1">
      <c r="A11" s="32" t="s">
        <v>67</v>
      </c>
      <c r="B11" s="182" t="s">
        <v>75</v>
      </c>
      <c r="C11" s="183" t="s">
        <v>76</v>
      </c>
      <c r="D11" s="33"/>
    </row>
    <row r="12" spans="1:9" ht="12.95">
      <c r="A12" s="32" t="s">
        <v>67</v>
      </c>
      <c r="B12" s="32" t="s">
        <v>77</v>
      </c>
      <c r="C12" s="35"/>
      <c r="D12" s="33"/>
    </row>
    <row r="13" spans="1:9" ht="12.95">
      <c r="A13" s="32" t="s">
        <v>67</v>
      </c>
      <c r="B13" s="32" t="s">
        <v>78</v>
      </c>
      <c r="C13" s="35"/>
      <c r="D13" s="33"/>
    </row>
    <row r="14" spans="1:9" ht="12.95">
      <c r="A14" s="32" t="s">
        <v>0</v>
      </c>
      <c r="B14" s="32" t="s">
        <v>79</v>
      </c>
      <c r="C14" s="34" t="s">
        <v>76</v>
      </c>
      <c r="D14" s="33" t="e">
        <f>VLOOKUP(C14,Справочник!W3:X9,2,)</f>
        <v>#N/A</v>
      </c>
    </row>
    <row r="15" spans="1:9" ht="12.95">
      <c r="A15" s="36" t="s">
        <v>32</v>
      </c>
      <c r="B15" s="37" t="s">
        <v>81</v>
      </c>
      <c r="C15" s="38"/>
      <c r="D15" s="33"/>
    </row>
    <row r="16" spans="1:9" ht="12.95">
      <c r="A16" s="36" t="s">
        <v>32</v>
      </c>
      <c r="B16" s="37" t="s">
        <v>82</v>
      </c>
      <c r="C16" s="38"/>
      <c r="D16" s="33"/>
    </row>
    <row r="17" spans="1:9" s="3" customFormat="1" ht="18.95" customHeight="1">
      <c r="A17" s="370" t="s">
        <v>83</v>
      </c>
      <c r="B17" s="371"/>
      <c r="C17" s="371"/>
      <c r="D17" s="39"/>
      <c r="E17" s="30"/>
      <c r="F17" s="30"/>
      <c r="G17" s="30"/>
      <c r="H17" s="30"/>
      <c r="I17" s="30"/>
    </row>
    <row r="18" spans="1:9" ht="26.1">
      <c r="A18" s="40" t="s">
        <v>84</v>
      </c>
      <c r="B18" s="252" t="s">
        <v>85</v>
      </c>
      <c r="C18" s="42"/>
      <c r="D18" s="33"/>
    </row>
    <row r="19" spans="1:9" ht="12.95">
      <c r="A19" s="32" t="s">
        <v>14</v>
      </c>
      <c r="B19" s="32" t="s">
        <v>15</v>
      </c>
      <c r="C19" s="34" t="s">
        <v>254</v>
      </c>
      <c r="D19" s="33"/>
    </row>
    <row r="20" spans="1:9" ht="26.1">
      <c r="A20" s="43" t="s">
        <v>16</v>
      </c>
      <c r="B20" s="43" t="s">
        <v>87</v>
      </c>
      <c r="C20" s="42"/>
      <c r="D20" s="33"/>
    </row>
    <row r="21" spans="1:9" ht="34.5" hidden="1" customHeight="1">
      <c r="A21" s="43" t="s">
        <v>88</v>
      </c>
      <c r="B21" s="181" t="s">
        <v>89</v>
      </c>
      <c r="C21" s="38"/>
      <c r="D21" s="33"/>
    </row>
    <row r="22" spans="1:9" ht="34.5" hidden="1" customHeight="1">
      <c r="A22" s="43" t="s">
        <v>90</v>
      </c>
      <c r="B22" s="181" t="s">
        <v>89</v>
      </c>
      <c r="C22" s="38"/>
      <c r="D22" s="33"/>
    </row>
    <row r="23" spans="1:9" ht="34.5" hidden="1" customHeight="1">
      <c r="A23" s="43" t="s">
        <v>91</v>
      </c>
      <c r="B23" s="181" t="s">
        <v>89</v>
      </c>
      <c r="C23" s="38"/>
      <c r="D23" s="33"/>
    </row>
    <row r="24" spans="1:9" ht="26.1" hidden="1">
      <c r="A24" s="45" t="s">
        <v>20</v>
      </c>
      <c r="B24" s="45" t="s">
        <v>92</v>
      </c>
      <c r="C24" s="46" t="s">
        <v>76</v>
      </c>
      <c r="D24" s="33"/>
    </row>
    <row r="25" spans="1:9" ht="26.1" hidden="1">
      <c r="A25" s="40" t="s">
        <v>93</v>
      </c>
      <c r="B25" s="184" t="s">
        <v>94</v>
      </c>
      <c r="C25" s="42"/>
      <c r="D25" s="33"/>
    </row>
    <row r="26" spans="1:9" ht="39" hidden="1">
      <c r="A26" s="40" t="s">
        <v>95</v>
      </c>
      <c r="B26" s="185" t="s">
        <v>96</v>
      </c>
      <c r="C26" s="47"/>
      <c r="D26" s="33"/>
    </row>
    <row r="27" spans="1:9" ht="12.95" hidden="1">
      <c r="A27" s="40" t="s">
        <v>97</v>
      </c>
      <c r="B27" s="185" t="s">
        <v>98</v>
      </c>
      <c r="C27" s="47"/>
      <c r="D27" s="33"/>
    </row>
    <row r="28" spans="1:9" ht="26.1" hidden="1">
      <c r="A28" s="40" t="s">
        <v>99</v>
      </c>
      <c r="B28" s="185" t="s">
        <v>100</v>
      </c>
      <c r="C28" s="47"/>
      <c r="D28" s="33"/>
    </row>
    <row r="29" spans="1:9" ht="30.6" customHeight="1">
      <c r="A29" s="48" t="s">
        <v>101</v>
      </c>
      <c r="B29" s="45" t="s">
        <v>102</v>
      </c>
      <c r="C29" s="49" t="s">
        <v>255</v>
      </c>
      <c r="D29" s="33"/>
    </row>
    <row r="30" spans="1:9" ht="51" customHeight="1">
      <c r="A30" s="40" t="s">
        <v>104</v>
      </c>
      <c r="B30" s="256" t="s">
        <v>105</v>
      </c>
      <c r="C30" s="170"/>
      <c r="D30" s="33"/>
    </row>
    <row r="31" spans="1:9" s="3" customFormat="1" ht="12.95">
      <c r="A31" s="370" t="s">
        <v>106</v>
      </c>
      <c r="B31" s="371"/>
      <c r="C31" s="371"/>
      <c r="D31" s="39"/>
      <c r="E31" s="30"/>
      <c r="F31" s="30"/>
      <c r="G31" s="30"/>
      <c r="H31" s="30"/>
      <c r="I31" s="30"/>
    </row>
    <row r="32" spans="1:9" ht="12.95">
      <c r="A32" s="50" t="s">
        <v>24</v>
      </c>
      <c r="B32" s="45" t="s">
        <v>107</v>
      </c>
      <c r="C32" s="51" t="s">
        <v>76</v>
      </c>
      <c r="D32" s="33"/>
    </row>
    <row r="33" spans="1:9" s="19" customFormat="1" ht="12.95">
      <c r="A33" s="52" t="s">
        <v>109</v>
      </c>
      <c r="B33" s="52" t="s">
        <v>110</v>
      </c>
      <c r="C33" s="53" t="s">
        <v>76</v>
      </c>
      <c r="D33" s="54"/>
      <c r="E33" s="55"/>
      <c r="F33" s="55"/>
      <c r="G33" s="55"/>
      <c r="H33" s="55"/>
      <c r="I33" s="55"/>
    </row>
    <row r="34" spans="1:9" ht="156.75" customHeight="1">
      <c r="A34" s="45" t="s">
        <v>25</v>
      </c>
      <c r="B34" s="56" t="s">
        <v>111</v>
      </c>
      <c r="C34" s="51" t="str">
        <f ca="1">IF(C33="(Выпадающий список)","Выберите порядок оплаты",IF((C33="Предоплата")*(ISBLANK(C35)),"Укажите количество дней предоплаты",IF((C33="Постоплата")*(ISBLANK(C36)),"Укажите количество дней постоплаты",IF((OR(C33="Частичнаяпредоплата",C33="Частичнаяпредоплата_с_БГ",C33="Предоплата_c_БГ")*(ISBLANK(C35))+OR(C33="Частичнаяпредоплата",C33="Предоплата_c_БГ",C33="Частичнаяпредоплата")*(ISBLANK(C36))),"Укажите количество дней частичной предоплаты/постоплаты",INDIRECT(C33 &amp; "_Многостор")))))</f>
        <v>Выберите порядок оплаты</v>
      </c>
      <c r="D34" s="33"/>
    </row>
    <row r="35" spans="1:9" ht="26.1">
      <c r="A35" s="40" t="s">
        <v>112</v>
      </c>
      <c r="B35" s="40" t="s">
        <v>113</v>
      </c>
      <c r="C35" s="57"/>
      <c r="D35" s="33"/>
    </row>
    <row r="36" spans="1:9" ht="26.1">
      <c r="A36" s="40" t="s">
        <v>114</v>
      </c>
      <c r="B36" s="40" t="s">
        <v>115</v>
      </c>
      <c r="C36" s="57"/>
      <c r="D36" s="33"/>
    </row>
    <row r="37" spans="1:9" ht="12.95">
      <c r="A37" s="40" t="s">
        <v>116</v>
      </c>
      <c r="B37" s="40" t="s">
        <v>117</v>
      </c>
      <c r="C37" s="58"/>
      <c r="D37" s="33"/>
    </row>
    <row r="38" spans="1:9" ht="12.95">
      <c r="A38" s="40" t="s">
        <v>118</v>
      </c>
      <c r="B38" s="40" t="s">
        <v>119</v>
      </c>
      <c r="C38" s="72">
        <f>100%-C37</f>
        <v>1</v>
      </c>
      <c r="D38" s="33"/>
    </row>
    <row r="39" spans="1:9" ht="77.099999999999994" customHeight="1">
      <c r="A39" s="370" t="s">
        <v>120</v>
      </c>
      <c r="B39" s="371"/>
      <c r="C39" s="371"/>
      <c r="D39" s="33"/>
    </row>
    <row r="40" spans="1:9" s="19" customFormat="1" ht="12.95" outlineLevel="1">
      <c r="A40" s="52" t="s">
        <v>121</v>
      </c>
      <c r="B40" s="52" t="s">
        <v>122</v>
      </c>
      <c r="C40" s="53"/>
      <c r="D40" s="54"/>
      <c r="E40" s="55"/>
      <c r="F40" s="55"/>
      <c r="G40" s="55"/>
      <c r="H40" s="55"/>
      <c r="I40" s="55"/>
    </row>
    <row r="41" spans="1:9" ht="116.85" customHeight="1" outlineLevel="1">
      <c r="A41" s="45" t="s">
        <v>123</v>
      </c>
      <c r="B41" s="56" t="s">
        <v>124</v>
      </c>
      <c r="C41" s="51"/>
      <c r="D41" s="33"/>
    </row>
    <row r="42" spans="1:9" ht="26.1" outlineLevel="1">
      <c r="A42" s="40" t="s">
        <v>125</v>
      </c>
      <c r="B42" s="40" t="s">
        <v>113</v>
      </c>
      <c r="C42" s="57"/>
      <c r="D42" s="33"/>
    </row>
    <row r="43" spans="1:9" ht="26.1" outlineLevel="1">
      <c r="A43" s="40" t="s">
        <v>126</v>
      </c>
      <c r="B43" s="40" t="s">
        <v>115</v>
      </c>
      <c r="C43" s="57"/>
      <c r="D43" s="33"/>
    </row>
    <row r="44" spans="1:9" ht="12.95" outlineLevel="1">
      <c r="A44" s="40" t="s">
        <v>127</v>
      </c>
      <c r="B44" s="40" t="s">
        <v>128</v>
      </c>
      <c r="C44" s="59"/>
      <c r="D44" s="33"/>
    </row>
    <row r="45" spans="1:9" ht="26.1" outlineLevel="1">
      <c r="A45" s="40" t="s">
        <v>129</v>
      </c>
      <c r="B45" s="40" t="s">
        <v>130</v>
      </c>
      <c r="C45" s="59"/>
      <c r="D45" s="33"/>
    </row>
    <row r="46" spans="1:9" ht="12.95" outlineLevel="1">
      <c r="A46" s="40" t="s">
        <v>131</v>
      </c>
      <c r="B46" s="40" t="s">
        <v>117</v>
      </c>
      <c r="C46" s="58">
        <v>0.2</v>
      </c>
      <c r="D46" s="33"/>
    </row>
    <row r="47" spans="1:9" ht="12.95" outlineLevel="1">
      <c r="A47" s="40" t="s">
        <v>132</v>
      </c>
      <c r="B47" s="40" t="s">
        <v>119</v>
      </c>
      <c r="C47" s="72">
        <f>100%-C46</f>
        <v>0.8</v>
      </c>
      <c r="D47" s="33"/>
    </row>
    <row r="48" spans="1:9" s="3" customFormat="1" ht="18.95" customHeight="1">
      <c r="A48" s="370" t="s">
        <v>133</v>
      </c>
      <c r="B48" s="371"/>
      <c r="C48" s="371"/>
      <c r="D48" s="39"/>
      <c r="E48" s="30"/>
      <c r="F48" s="30"/>
      <c r="G48" s="30"/>
      <c r="H48" s="30"/>
      <c r="I48" s="30"/>
    </row>
    <row r="49" spans="1:9" ht="100.5" customHeight="1">
      <c r="A49" s="45" t="s">
        <v>26</v>
      </c>
      <c r="B49" s="45" t="s">
        <v>134</v>
      </c>
      <c r="C49" s="42"/>
      <c r="D49" s="33"/>
    </row>
    <row r="50" spans="1:9" s="3" customFormat="1" ht="18.95" customHeight="1">
      <c r="A50" s="370" t="s">
        <v>135</v>
      </c>
      <c r="B50" s="371"/>
      <c r="C50" s="371"/>
      <c r="D50" s="39"/>
      <c r="E50" s="30"/>
      <c r="F50" s="30"/>
      <c r="G50" s="30"/>
      <c r="H50" s="30"/>
      <c r="I50" s="30"/>
    </row>
    <row r="51" spans="1:9" ht="39">
      <c r="A51" s="60" t="s">
        <v>136</v>
      </c>
      <c r="B51" s="40" t="s">
        <v>137</v>
      </c>
      <c r="C51" s="170"/>
      <c r="D51" s="33"/>
    </row>
    <row r="52" spans="1:9" ht="26.1">
      <c r="A52" s="60" t="s">
        <v>139</v>
      </c>
      <c r="B52" s="40" t="s">
        <v>140</v>
      </c>
      <c r="C52" s="46" t="s">
        <v>76</v>
      </c>
      <c r="D52" s="33"/>
    </row>
    <row r="53" spans="1:9" ht="46.5" customHeight="1">
      <c r="A53" s="61" t="s">
        <v>28</v>
      </c>
      <c r="B53" s="45" t="s">
        <v>135</v>
      </c>
      <c r="C53" s="64" t="str">
        <f>CONCATENATE("Срок годности поставляемого по настоящему Дополнительному соглашению Товара указывается в ",C51," и должен составлять не менее ",C52," с даты поставки Товара.")</f>
        <v>Срок годности поставляемого по настоящему Дополнительному соглашению Товара указывается в  и должен составлять не менее (Выпадающий список) с даты поставки Товара.</v>
      </c>
      <c r="D53" s="33"/>
    </row>
    <row r="54" spans="1:9" s="3" customFormat="1" ht="18.95" customHeight="1">
      <c r="A54" s="370" t="s">
        <v>141</v>
      </c>
      <c r="B54" s="371"/>
      <c r="C54" s="371"/>
      <c r="D54" s="39"/>
      <c r="E54" s="30"/>
      <c r="F54" s="30"/>
      <c r="G54" s="30"/>
      <c r="H54" s="30"/>
      <c r="I54" s="30"/>
    </row>
    <row r="55" spans="1:9" ht="39">
      <c r="A55" s="61" t="s">
        <v>142</v>
      </c>
      <c r="B55" s="45" t="s">
        <v>143</v>
      </c>
      <c r="C55" s="137" t="s">
        <v>144</v>
      </c>
      <c r="D55" s="33"/>
    </row>
    <row r="56" spans="1:9" ht="26.1">
      <c r="A56" s="61" t="s">
        <v>145</v>
      </c>
      <c r="B56" s="45" t="s">
        <v>146</v>
      </c>
      <c r="C56" s="312">
        <v>0.1</v>
      </c>
      <c r="D56" s="33"/>
    </row>
    <row r="57" spans="1:9" ht="26.1">
      <c r="A57" s="61" t="s">
        <v>147</v>
      </c>
      <c r="B57" s="45" t="s">
        <v>148</v>
      </c>
      <c r="C57" s="312">
        <v>0.2</v>
      </c>
      <c r="D57" s="62"/>
    </row>
    <row r="58" spans="1:9" s="3" customFormat="1" ht="70.5" customHeight="1">
      <c r="A58" s="370" t="s">
        <v>149</v>
      </c>
      <c r="B58" s="371" t="s">
        <v>150</v>
      </c>
      <c r="C58" s="372"/>
      <c r="D58" s="63" t="s">
        <v>151</v>
      </c>
      <c r="E58" s="30"/>
      <c r="F58" s="30"/>
      <c r="G58" s="30"/>
      <c r="H58" s="30"/>
      <c r="I58" s="30"/>
    </row>
    <row r="59" spans="1:9" ht="21.75" customHeight="1">
      <c r="A59" s="126" t="s">
        <v>256</v>
      </c>
      <c r="B59" s="44" t="s">
        <v>153</v>
      </c>
      <c r="C59" s="124"/>
      <c r="D59" s="65" t="s">
        <v>154</v>
      </c>
    </row>
    <row r="60" spans="1:9" ht="45" customHeight="1">
      <c r="A60" s="126" t="s">
        <v>257</v>
      </c>
      <c r="B60" s="44" t="s">
        <v>156</v>
      </c>
      <c r="C60" s="124"/>
      <c r="D60" s="65" t="s">
        <v>154</v>
      </c>
    </row>
    <row r="61" spans="1:9" ht="23.1" customHeight="1">
      <c r="A61" s="310" t="s">
        <v>258</v>
      </c>
      <c r="B61" s="45" t="s">
        <v>158</v>
      </c>
      <c r="C61" s="42"/>
      <c r="D61" s="174" t="s">
        <v>154</v>
      </c>
    </row>
    <row r="62" spans="1:9" ht="12.95">
      <c r="A62" s="310"/>
      <c r="B62" s="171" t="s">
        <v>159</v>
      </c>
      <c r="C62" s="42"/>
      <c r="D62" s="174" t="s">
        <v>154</v>
      </c>
    </row>
    <row r="63" spans="1:9" ht="26.1">
      <c r="A63" s="310" t="s">
        <v>259</v>
      </c>
      <c r="B63" s="40" t="s">
        <v>161</v>
      </c>
      <c r="C63" s="57" t="s">
        <v>162</v>
      </c>
      <c r="D63" s="33"/>
    </row>
    <row r="64" spans="1:9" ht="26.1">
      <c r="A64" s="310" t="s">
        <v>260</v>
      </c>
      <c r="B64" s="40" t="s">
        <v>164</v>
      </c>
      <c r="C64" s="57" t="s">
        <v>165</v>
      </c>
      <c r="D64" s="33"/>
    </row>
    <row r="65" spans="1:14" ht="26.1">
      <c r="A65" s="310" t="s">
        <v>261</v>
      </c>
      <c r="B65" s="40" t="s">
        <v>167</v>
      </c>
      <c r="C65" s="57" t="s">
        <v>168</v>
      </c>
      <c r="D65" s="33"/>
    </row>
    <row r="66" spans="1:14" ht="26.1">
      <c r="A66" s="310" t="s">
        <v>262</v>
      </c>
      <c r="B66" s="40" t="s">
        <v>170</v>
      </c>
      <c r="C66" s="57"/>
      <c r="D66" s="33"/>
    </row>
    <row r="67" spans="1:14" ht="26.1">
      <c r="A67" s="310" t="s">
        <v>263</v>
      </c>
      <c r="B67" s="40" t="s">
        <v>172</v>
      </c>
      <c r="C67" s="57"/>
      <c r="D67" s="33"/>
    </row>
    <row r="68" spans="1:14" ht="12.95">
      <c r="A68" s="310"/>
      <c r="B68" s="171" t="s">
        <v>173</v>
      </c>
      <c r="C68" s="57"/>
      <c r="D68" s="174" t="s">
        <v>154</v>
      </c>
    </row>
    <row r="69" spans="1:14" ht="26.1">
      <c r="A69" s="310" t="s">
        <v>264</v>
      </c>
      <c r="B69" s="40" t="s">
        <v>161</v>
      </c>
      <c r="C69" s="57" t="s">
        <v>175</v>
      </c>
      <c r="D69" s="33"/>
    </row>
    <row r="70" spans="1:14" ht="26.1">
      <c r="A70" s="310" t="s">
        <v>265</v>
      </c>
      <c r="B70" s="40" t="s">
        <v>164</v>
      </c>
      <c r="C70" s="57"/>
      <c r="D70" s="33"/>
    </row>
    <row r="71" spans="1:14" ht="26.1">
      <c r="A71" s="310" t="s">
        <v>266</v>
      </c>
      <c r="B71" s="40" t="s">
        <v>167</v>
      </c>
      <c r="C71" s="57"/>
      <c r="D71" s="33"/>
    </row>
    <row r="72" spans="1:14" ht="26.1">
      <c r="A72" s="310" t="s">
        <v>267</v>
      </c>
      <c r="B72" s="40" t="s">
        <v>170</v>
      </c>
      <c r="C72" s="57"/>
      <c r="D72" s="33"/>
    </row>
    <row r="73" spans="1:14" ht="26.1">
      <c r="A73" s="310" t="s">
        <v>268</v>
      </c>
      <c r="B73" s="40" t="s">
        <v>172</v>
      </c>
      <c r="C73" s="57"/>
      <c r="D73" s="33"/>
    </row>
    <row r="74" spans="1:14" ht="12.95">
      <c r="A74" s="127"/>
      <c r="B74" s="40"/>
      <c r="C74" s="57"/>
      <c r="D74" s="33"/>
    </row>
    <row r="75" spans="1:14" ht="12.95">
      <c r="A75" s="127"/>
      <c r="B75" s="40"/>
      <c r="C75" s="57"/>
      <c r="D75" s="33"/>
    </row>
    <row r="76" spans="1:14" ht="12.95">
      <c r="A76" s="126" t="s">
        <v>269</v>
      </c>
      <c r="B76" s="44" t="s">
        <v>181</v>
      </c>
      <c r="C76" s="57"/>
      <c r="D76" s="174" t="s">
        <v>154</v>
      </c>
    </row>
    <row r="77" spans="1:14" ht="32.25" customHeight="1">
      <c r="A77" s="126" t="s">
        <v>269</v>
      </c>
      <c r="B77" s="44" t="s">
        <v>182</v>
      </c>
      <c r="C77" s="64" t="s">
        <v>183</v>
      </c>
      <c r="D77" s="65" t="s">
        <v>154</v>
      </c>
      <c r="E77" s="21"/>
      <c r="F77" s="21"/>
      <c r="G77" s="21"/>
      <c r="H77" s="21"/>
      <c r="I77" s="21"/>
      <c r="J77" s="21"/>
      <c r="K77" s="21"/>
      <c r="L77" s="21"/>
      <c r="M77" s="21"/>
      <c r="N77" s="21"/>
    </row>
    <row r="78" spans="1:14" ht="17.45">
      <c r="A78" s="127" t="s">
        <v>270</v>
      </c>
      <c r="B78" s="172" t="s">
        <v>185</v>
      </c>
      <c r="C78" s="73" t="str">
        <f>CONCATENATE("- ",B78,".")</f>
        <v>- Заказ принят.</v>
      </c>
      <c r="D78" s="65" t="s">
        <v>154</v>
      </c>
      <c r="E78" s="21"/>
      <c r="F78" s="21"/>
      <c r="G78" s="21"/>
      <c r="H78" s="21"/>
      <c r="I78" s="21"/>
      <c r="J78" s="21"/>
      <c r="K78" s="21"/>
      <c r="L78" s="21"/>
      <c r="M78" s="21"/>
      <c r="N78" s="21"/>
    </row>
    <row r="79" spans="1:14" ht="17.45">
      <c r="A79" s="127" t="s">
        <v>271</v>
      </c>
      <c r="B79" s="172" t="s">
        <v>187</v>
      </c>
      <c r="C79" s="73" t="str">
        <f t="shared" ref="C79:C87" si="0">CONCATENATE("- ",B79,".")</f>
        <v>- Сырье куплено.</v>
      </c>
      <c r="D79" s="65" t="s">
        <v>154</v>
      </c>
      <c r="E79" s="21"/>
      <c r="F79" s="21"/>
      <c r="G79" s="21"/>
      <c r="H79" s="21"/>
      <c r="I79" s="21"/>
      <c r="J79" s="21"/>
      <c r="K79" s="21"/>
      <c r="L79" s="21"/>
      <c r="M79" s="21"/>
      <c r="N79" s="21"/>
    </row>
    <row r="80" spans="1:14" ht="17.45">
      <c r="A80" s="127" t="s">
        <v>272</v>
      </c>
      <c r="B80" s="172" t="s">
        <v>189</v>
      </c>
      <c r="C80" s="73" t="str">
        <f t="shared" si="0"/>
        <v>- Заказ произведен/готов к отгрузке.</v>
      </c>
      <c r="D80" s="65" t="s">
        <v>154</v>
      </c>
      <c r="E80" s="21"/>
      <c r="F80" s="21"/>
      <c r="G80" s="21"/>
      <c r="H80" s="21"/>
      <c r="I80" s="21"/>
      <c r="J80" s="21"/>
      <c r="K80" s="21"/>
      <c r="L80" s="21"/>
      <c r="M80" s="21"/>
      <c r="N80" s="21"/>
    </row>
    <row r="81" spans="1:14" ht="17.45">
      <c r="A81" s="127" t="s">
        <v>273</v>
      </c>
      <c r="B81" s="172" t="s">
        <v>191</v>
      </c>
      <c r="C81" s="73" t="str">
        <f t="shared" si="0"/>
        <v>- Отгружено.</v>
      </c>
      <c r="D81" s="65" t="s">
        <v>154</v>
      </c>
      <c r="E81" s="21"/>
      <c r="F81" s="21"/>
      <c r="G81" s="21"/>
      <c r="H81" s="21"/>
      <c r="I81" s="21"/>
      <c r="J81" s="21"/>
      <c r="K81" s="21"/>
      <c r="L81" s="21"/>
      <c r="M81" s="21"/>
      <c r="N81" s="21"/>
    </row>
    <row r="82" spans="1:14" ht="17.45">
      <c r="A82" s="127" t="s">
        <v>274</v>
      </c>
      <c r="B82" s="172" t="s">
        <v>193</v>
      </c>
      <c r="C82" s="73" t="str">
        <f t="shared" si="0"/>
        <v>- Погружено на судно.</v>
      </c>
      <c r="D82" s="65" t="s">
        <v>154</v>
      </c>
      <c r="E82" s="21"/>
      <c r="F82" s="21"/>
      <c r="G82" s="21"/>
      <c r="H82" s="21"/>
      <c r="I82" s="21"/>
      <c r="J82" s="21"/>
      <c r="K82" s="21"/>
      <c r="L82" s="21"/>
      <c r="M82" s="21"/>
      <c r="N82" s="21"/>
    </row>
    <row r="83" spans="1:14" ht="17.45">
      <c r="A83" s="127" t="s">
        <v>275</v>
      </c>
      <c r="B83" s="172" t="s">
        <v>195</v>
      </c>
      <c r="C83" s="73" t="str">
        <f t="shared" si="0"/>
        <v>- Погружен на авто.</v>
      </c>
      <c r="D83" s="65" t="s">
        <v>154</v>
      </c>
      <c r="E83" s="21"/>
      <c r="F83" s="21"/>
      <c r="G83" s="21"/>
      <c r="H83" s="21"/>
      <c r="I83" s="21"/>
      <c r="J83" s="21"/>
      <c r="K83" s="21"/>
      <c r="L83" s="21"/>
      <c r="M83" s="21"/>
      <c r="N83" s="21"/>
    </row>
    <row r="84" spans="1:14" ht="17.45">
      <c r="A84" s="127" t="s">
        <v>276</v>
      </c>
      <c r="B84" s="172" t="s">
        <v>197</v>
      </c>
      <c r="C84" s="73" t="str">
        <f t="shared" si="0"/>
        <v>- Прибыл на таможню.</v>
      </c>
      <c r="D84" s="65" t="s">
        <v>154</v>
      </c>
      <c r="E84" s="21"/>
      <c r="F84" s="21"/>
      <c r="G84" s="21"/>
      <c r="H84" s="21"/>
      <c r="I84" s="21"/>
      <c r="J84" s="21"/>
      <c r="K84" s="21"/>
      <c r="L84" s="21"/>
      <c r="M84" s="21"/>
      <c r="N84" s="21"/>
    </row>
    <row r="85" spans="1:14" ht="17.45">
      <c r="A85" s="127" t="s">
        <v>277</v>
      </c>
      <c r="B85" s="172" t="s">
        <v>199</v>
      </c>
      <c r="C85" s="73" t="str">
        <f t="shared" si="0"/>
        <v>- Растаможен.</v>
      </c>
      <c r="D85" s="65" t="s">
        <v>154</v>
      </c>
      <c r="E85" s="21"/>
      <c r="F85" s="21"/>
      <c r="G85" s="21"/>
      <c r="H85" s="21"/>
      <c r="I85" s="21"/>
      <c r="J85" s="21"/>
      <c r="K85" s="21"/>
      <c r="L85" s="21"/>
      <c r="M85" s="21"/>
      <c r="N85" s="21"/>
    </row>
    <row r="86" spans="1:14" ht="17.45">
      <c r="A86" s="127" t="s">
        <v>278</v>
      </c>
      <c r="B86" s="172" t="s">
        <v>201</v>
      </c>
      <c r="C86" s="73" t="str">
        <f t="shared" si="0"/>
        <v>- Погружен на поезд/авто.</v>
      </c>
      <c r="D86" s="65" t="s">
        <v>154</v>
      </c>
      <c r="E86" s="21"/>
      <c r="F86" s="21"/>
      <c r="G86" s="21"/>
      <c r="H86" s="21"/>
      <c r="I86" s="21"/>
      <c r="J86" s="21"/>
      <c r="K86" s="21"/>
      <c r="L86" s="21"/>
      <c r="M86" s="21"/>
      <c r="N86" s="21"/>
    </row>
    <row r="87" spans="1:14" ht="17.45">
      <c r="A87" s="127" t="s">
        <v>279</v>
      </c>
      <c r="B87" s="172" t="s">
        <v>203</v>
      </c>
      <c r="C87" s="73" t="str">
        <f t="shared" si="0"/>
        <v>- Доставлен.</v>
      </c>
      <c r="D87" s="65" t="s">
        <v>154</v>
      </c>
      <c r="E87" s="21"/>
      <c r="F87" s="21"/>
      <c r="G87" s="21"/>
      <c r="H87" s="21"/>
      <c r="I87" s="21"/>
      <c r="J87" s="21"/>
      <c r="K87" s="21"/>
      <c r="L87" s="21"/>
      <c r="M87" s="21"/>
      <c r="N87" s="21"/>
    </row>
    <row r="88" spans="1:14" ht="62.85" customHeight="1">
      <c r="A88" s="126" t="s">
        <v>280</v>
      </c>
      <c r="B88" s="44" t="s">
        <v>205</v>
      </c>
      <c r="C88" s="64" t="str">
        <f>CONCATENATE("При исполнении настоящего дополнительного соглашения допускается отклонение от согласованного Сторонами количества Товара (толеранс) в пределах +/-",TEXT($C$89,"0%"), " по отдельным позициям."," 
При наличии расхождений по количеству Товара в пределах толеранса Сторонами производится доплата или возврат денежных средств не позднее 30 (тридцати) дней с даты поставки Товара.")</f>
        <v>При исполнении настоящего дополнительного соглашения допускается отклонение от согласованного Сторонами количества Товара (толеранс) в пределах +/-0% по отдельным позициям. 
При наличии расхождений по количеству Товара в пределах толеранса Сторонами производится доплата или возврат денежных средств не позднее 30 (тридцати) дней с даты поставки Товара.</v>
      </c>
      <c r="D88" s="65" t="s">
        <v>154</v>
      </c>
    </row>
    <row r="89" spans="1:14" ht="17.45">
      <c r="A89" s="66" t="s">
        <v>281</v>
      </c>
      <c r="B89" s="67" t="s">
        <v>207</v>
      </c>
      <c r="C89" s="68"/>
      <c r="D89" s="128"/>
      <c r="E89" s="21"/>
      <c r="F89" s="21"/>
      <c r="G89" s="21"/>
      <c r="H89" s="21"/>
      <c r="I89" s="21"/>
      <c r="J89" s="21"/>
      <c r="K89" s="21"/>
      <c r="L89" s="21"/>
      <c r="M89" s="21"/>
      <c r="N89" s="21"/>
    </row>
    <row r="90" spans="1:14" ht="129.75" customHeight="1">
      <c r="A90" s="126" t="s">
        <v>282</v>
      </c>
      <c r="B90" s="44" t="s">
        <v>209</v>
      </c>
      <c r="C90" s="64" t="str">
        <f>CONCATENATE("В соответствии со ст. 429.3 ГК РФ Покупатель вправе в срок до ",TEXT(DAY(C91),"00")&amp;" "&amp;VLOOKUP(MONTH(C91),Справочник!$D$2:$E$13,2,0)&amp;" "&amp;YEAR(C91)&amp;" года"," потребовать от Поставщика поставить дополнительный объем Товара, указанного в п. 1 настоящего дополнительного соглашения, в пределах ",TEXT($C$92,"0%"), " от количества, согласованного в настоящем дополнительном соглашении по каждой позиции.",
" Требование Покупателя о поставке дополнительного объема Товара будет считаться заявленным в пределах указанного в настоящем пункте срока,", "если требование о поставке Товара будет отправлено Покупателем в адрес Поставщика до истечения предусмотренного настоящим пунктом срока.",
" Настоящим стороны пришли к соглашению, что стоимость права требования Покупателя, предусмотренного настоящим пунктом, включена в стоимость Товара, указанную в настоящем дополнительном соглашении.",
" В случае предъявления Покупателем требования, предусмотренного настоящим пунктом, Поставщик обязан в течение ",C93,
" календарных дней с даты направления Покупателем этого требования поставить Покупателю указанное в требовании Покупателя количество Товара по цене,",
" не выше согласованной в п. 1 настоящего дополнительного соглашения цены и на условиях, предусмотренных Договором, а также настоящим дополнительным соглашением.")</f>
        <v>В соответствии со ст. 429.3 ГК РФ Покупатель вправе в срок до 00 января 1900 года потребовать от Поставщика поставить дополнительный объем Товара, указанного в п. 1 настоящего дополнительного соглашения, в пределах 0% от количества, согласованного в настоящем дополнительном соглашении по каждой позиции. Требование Покупателя о поставке дополнительного объема Товара будет считаться заявленным в пределах указанного в настоящем пункте срока,если требование о поставке Товара будет отправлено Покупателем в адрес Поставщика до истечения предусмотренного настоящим пунктом срока. Настоящим стороны пришли к соглашению, что стоимость права требования Покупателя, предусмотренного настоящим пунктом, включена в стоимость Товара, указанную в настоящем дополнительном соглашении. В случае предъявления Покупателем требования, предусмотренного настоящим пунктом, Поставщик обязан в течение  календарных дней с даты направления Покупателем этого требования поставить Покупателю указанное в требовании Покупателя количество Товара по цене, не выше согласованной в п. 1 настоящего дополнительного соглашения цены и на условиях, предусмотренных Договором, а также настоящим дополнительным соглашением.</v>
      </c>
      <c r="D90" s="31" t="s">
        <v>154</v>
      </c>
      <c r="E90" s="21"/>
    </row>
    <row r="91" spans="1:14" ht="17.45">
      <c r="A91" s="127" t="s">
        <v>283</v>
      </c>
      <c r="B91" s="67" t="s">
        <v>211</v>
      </c>
      <c r="C91" s="47"/>
      <c r="D91" s="31"/>
      <c r="E91" s="21"/>
    </row>
    <row r="92" spans="1:14" ht="26.1">
      <c r="A92" s="127" t="s">
        <v>284</v>
      </c>
      <c r="B92" s="67" t="s">
        <v>213</v>
      </c>
      <c r="C92" s="173"/>
      <c r="D92" s="39"/>
      <c r="E92" s="21"/>
    </row>
    <row r="93" spans="1:14" ht="24" customHeight="1">
      <c r="A93" s="127" t="s">
        <v>285</v>
      </c>
      <c r="B93" s="67" t="s">
        <v>215</v>
      </c>
      <c r="C93" s="42"/>
      <c r="D93" s="71"/>
      <c r="E93" s="21"/>
    </row>
    <row r="94" spans="1:14" ht="35.450000000000003" hidden="1" customHeight="1">
      <c r="A94" s="126"/>
      <c r="B94" s="44"/>
      <c r="C94" s="73"/>
      <c r="D94" s="71"/>
      <c r="E94" s="21"/>
    </row>
    <row r="95" spans="1:14" ht="24.95">
      <c r="A95" s="126" t="s">
        <v>286</v>
      </c>
      <c r="B95" s="122" t="s">
        <v>217</v>
      </c>
      <c r="C95" s="144" t="s">
        <v>218</v>
      </c>
      <c r="D95" s="65" t="s">
        <v>154</v>
      </c>
      <c r="E95" s="21"/>
    </row>
    <row r="96" spans="1:14" s="3" customFormat="1" ht="18.95" customHeight="1">
      <c r="A96" s="369" t="s">
        <v>219</v>
      </c>
      <c r="B96" s="373"/>
      <c r="C96" s="373"/>
      <c r="D96" s="133"/>
      <c r="E96" s="21"/>
    </row>
    <row r="97" spans="1:9" ht="17.850000000000001" customHeight="1">
      <c r="A97" s="134" t="s">
        <v>220</v>
      </c>
      <c r="B97" s="135" t="s">
        <v>221</v>
      </c>
      <c r="C97" s="137" t="s">
        <v>144</v>
      </c>
      <c r="D97" s="76"/>
      <c r="E97" s="21"/>
      <c r="F97"/>
      <c r="G97"/>
      <c r="H97"/>
      <c r="I97"/>
    </row>
    <row r="98" spans="1:9" ht="82.5" customHeight="1">
      <c r="A98" s="289" t="s">
        <v>220</v>
      </c>
      <c r="B98" s="290" t="s">
        <v>223</v>
      </c>
      <c r="C98" s="291" t="s">
        <v>224</v>
      </c>
      <c r="D98" s="76"/>
      <c r="E98" s="21"/>
      <c r="F98"/>
      <c r="G98"/>
      <c r="H98"/>
      <c r="I98"/>
    </row>
    <row r="99" spans="1:9" s="3" customFormat="1" ht="18.95" hidden="1" customHeight="1">
      <c r="A99" s="292"/>
      <c r="B99" s="292"/>
      <c r="C99" s="292"/>
      <c r="D99" s="30"/>
      <c r="E99" s="30"/>
      <c r="F99" s="30"/>
      <c r="G99" s="30"/>
      <c r="H99" s="30"/>
      <c r="I99" s="30"/>
    </row>
    <row r="100" spans="1:9" ht="53.85" hidden="1" customHeight="1">
      <c r="A100" s="284"/>
      <c r="B100" s="285"/>
      <c r="C100" s="286"/>
      <c r="D100" s="3"/>
      <c r="E100"/>
      <c r="F100"/>
      <c r="G100"/>
      <c r="H100"/>
      <c r="I100"/>
    </row>
    <row r="101" spans="1:9" ht="20.25" hidden="1" customHeight="1">
      <c r="A101" s="284"/>
      <c r="B101" s="287"/>
      <c r="C101" s="288"/>
      <c r="D101" s="3"/>
      <c r="E101"/>
      <c r="F101"/>
      <c r="G101"/>
      <c r="H101"/>
      <c r="I101"/>
    </row>
    <row r="102" spans="1:9" s="3" customFormat="1" ht="18.95" customHeight="1">
      <c r="A102" s="397" t="s">
        <v>225</v>
      </c>
      <c r="B102" s="398"/>
      <c r="C102" s="398"/>
      <c r="D102" s="39"/>
      <c r="E102" s="21"/>
      <c r="F102" s="30"/>
      <c r="G102" s="30"/>
      <c r="H102" s="30"/>
      <c r="I102" s="30"/>
    </row>
    <row r="103" spans="1:9" ht="17.45">
      <c r="A103" s="138" t="s">
        <v>287</v>
      </c>
      <c r="B103" s="74" t="s">
        <v>227</v>
      </c>
      <c r="C103" s="77"/>
      <c r="D103" s="75"/>
      <c r="E103" s="21"/>
      <c r="F103"/>
      <c r="G103"/>
      <c r="H103"/>
      <c r="I103"/>
    </row>
    <row r="104" spans="1:9" ht="17.45">
      <c r="A104" s="138" t="s">
        <v>288</v>
      </c>
      <c r="B104" s="74" t="s">
        <v>229</v>
      </c>
      <c r="C104" s="77"/>
      <c r="D104" s="75"/>
      <c r="E104" s="21"/>
      <c r="F104"/>
      <c r="G104"/>
      <c r="H104"/>
      <c r="I104"/>
    </row>
    <row r="105" spans="1:9" ht="17.45">
      <c r="A105" s="138" t="s">
        <v>289</v>
      </c>
      <c r="B105" s="74" t="s">
        <v>231</v>
      </c>
      <c r="C105" s="77"/>
      <c r="D105" s="75"/>
      <c r="E105" s="21"/>
      <c r="F105"/>
      <c r="G105"/>
      <c r="H105"/>
      <c r="I105"/>
    </row>
    <row r="106" spans="1:9" ht="17.45">
      <c r="A106" s="138" t="s">
        <v>290</v>
      </c>
      <c r="B106" s="74" t="s">
        <v>233</v>
      </c>
      <c r="C106" s="77"/>
      <c r="D106" s="75"/>
      <c r="E106" s="21"/>
      <c r="F106"/>
      <c r="G106"/>
      <c r="H106"/>
      <c r="I106"/>
    </row>
    <row r="107" spans="1:9" ht="17.45">
      <c r="A107" s="138" t="s">
        <v>291</v>
      </c>
      <c r="B107" s="74" t="s">
        <v>235</v>
      </c>
      <c r="C107" s="77"/>
      <c r="D107" s="75"/>
      <c r="E107" s="21"/>
      <c r="F107"/>
      <c r="G107"/>
      <c r="H107"/>
      <c r="I107"/>
    </row>
    <row r="108" spans="1:9" ht="17.45">
      <c r="A108" s="138" t="s">
        <v>292</v>
      </c>
      <c r="B108" s="74" t="s">
        <v>237</v>
      </c>
      <c r="C108" s="77"/>
      <c r="D108" s="75"/>
      <c r="E108" s="21"/>
      <c r="F108"/>
      <c r="G108"/>
      <c r="H108"/>
      <c r="I108"/>
    </row>
    <row r="109" spans="1:9" ht="17.45">
      <c r="A109" s="138" t="s">
        <v>293</v>
      </c>
      <c r="B109" s="307" t="s">
        <v>239</v>
      </c>
      <c r="C109" s="77"/>
      <c r="D109" s="75"/>
      <c r="E109" s="21"/>
      <c r="F109"/>
      <c r="G109"/>
      <c r="H109"/>
      <c r="I109"/>
    </row>
    <row r="110" spans="1:9" ht="17.45">
      <c r="A110" s="138" t="s">
        <v>294</v>
      </c>
      <c r="B110" s="69" t="s">
        <v>241</v>
      </c>
      <c r="C110" s="78"/>
      <c r="D110" s="39"/>
      <c r="E110" s="21"/>
    </row>
    <row r="111" spans="1:9" ht="17.45">
      <c r="A111" s="134" t="s">
        <v>295</v>
      </c>
      <c r="B111" s="70" t="s">
        <v>243</v>
      </c>
      <c r="C111" s="143" t="s">
        <v>76</v>
      </c>
      <c r="D111" s="39"/>
      <c r="E111" s="21"/>
    </row>
    <row r="112" spans="1:9" ht="17.45">
      <c r="A112" s="134" t="s">
        <v>296</v>
      </c>
      <c r="B112" s="70" t="s">
        <v>245</v>
      </c>
      <c r="C112" s="124"/>
      <c r="D112" s="39"/>
      <c r="E112" s="21"/>
    </row>
    <row r="113" spans="1:9" ht="17.45">
      <c r="A113" s="134" t="s">
        <v>297</v>
      </c>
      <c r="B113" s="70" t="s">
        <v>247</v>
      </c>
      <c r="C113" s="59"/>
      <c r="D113" s="39"/>
      <c r="E113" s="21"/>
    </row>
    <row r="114" spans="1:9" s="3" customFormat="1" ht="18.95" customHeight="1">
      <c r="A114" s="368" t="s">
        <v>248</v>
      </c>
      <c r="B114" s="368"/>
      <c r="C114" s="369"/>
      <c r="D114" s="76"/>
      <c r="E114" s="21"/>
    </row>
    <row r="115" spans="1:9" ht="30.2" customHeight="1">
      <c r="A115" s="394" t="s">
        <v>298</v>
      </c>
      <c r="B115" s="395"/>
      <c r="C115" s="396"/>
      <c r="D115" s="75"/>
      <c r="E115" s="21"/>
      <c r="F115"/>
      <c r="G115"/>
      <c r="H115"/>
      <c r="I115"/>
    </row>
    <row r="116" spans="1:9" ht="66.2" customHeight="1">
      <c r="A116" s="254" t="s">
        <v>299</v>
      </c>
      <c r="B116" s="253" t="s">
        <v>300</v>
      </c>
      <c r="C116" s="255"/>
      <c r="D116" s="75"/>
      <c r="E116" s="21"/>
      <c r="F116"/>
      <c r="G116"/>
      <c r="H116"/>
      <c r="I116"/>
    </row>
    <row r="117" spans="1:9" ht="17.45">
      <c r="A117" s="138" t="s">
        <v>294</v>
      </c>
      <c r="B117" s="69" t="s">
        <v>249</v>
      </c>
      <c r="C117" s="124"/>
      <c r="D117" s="39"/>
      <c r="E117" s="21"/>
    </row>
    <row r="118" spans="1:9" ht="12.95">
      <c r="A118" s="134" t="s">
        <v>295</v>
      </c>
      <c r="B118" s="70" t="s">
        <v>243</v>
      </c>
      <c r="C118" s="46" t="s">
        <v>76</v>
      </c>
      <c r="D118" s="39"/>
    </row>
    <row r="119" spans="1:9" ht="12.95">
      <c r="A119" s="134" t="s">
        <v>296</v>
      </c>
      <c r="B119" s="70" t="s">
        <v>245</v>
      </c>
      <c r="C119" s="124"/>
      <c r="D119" s="39"/>
    </row>
    <row r="120" spans="1:9" ht="12.95">
      <c r="A120" s="134" t="s">
        <v>297</v>
      </c>
      <c r="B120" s="70" t="s">
        <v>247</v>
      </c>
      <c r="C120" s="59"/>
      <c r="D120" s="71"/>
    </row>
  </sheetData>
  <mergeCells count="12">
    <mergeCell ref="A115:C115"/>
    <mergeCell ref="A114:C114"/>
    <mergeCell ref="A3:C3"/>
    <mergeCell ref="A17:C17"/>
    <mergeCell ref="A31:C31"/>
    <mergeCell ref="A39:C39"/>
    <mergeCell ref="A48:C48"/>
    <mergeCell ref="A50:C50"/>
    <mergeCell ref="A54:C54"/>
    <mergeCell ref="A58:C58"/>
    <mergeCell ref="A96:C96"/>
    <mergeCell ref="A102:C102"/>
  </mergeCells>
  <dataValidations count="30">
    <dataValidation type="list" allowBlank="1" showInputMessage="1" showErrorMessage="1" sqref="C99" xr:uid="{00000000-0002-0000-0300-000000000000}">
      <formula1>$L$2:$L$4</formula1>
    </dataValidation>
    <dataValidation allowBlank="1" showInputMessage="1" showErrorMessage="1" prompt="конкретные требования к качеству Товара, ссылку на ГОСТ/Т,Приложение" sqref="C49" xr:uid="{00000000-0002-0000-0300-000001000000}"/>
    <dataValidation allowBlank="1" showInputMessage="1" showErrorMessage="1" prompt="Дополнительное поле" sqref="C22:C23" xr:uid="{00000000-0002-0000-0300-000002000000}"/>
    <dataValidation type="list" allowBlank="1" showInputMessage="1" showErrorMessage="1" prompt="Включаются в текст ДС в случае закупки хим.продукции, являющейся материалом нерегулярного потребления (МНР), либо хим.продукции с критичным для Покупателя сроком поставки." sqref="C55" xr:uid="{00000000-0002-0000-0300-000003000000}">
      <formula1>"да,нет"</formula1>
    </dataValidation>
    <dataValidation allowBlank="1" showInputMessage="1" showErrorMessage="1" prompt="Включаются в текст ДС в случае закупки хим.продукции, являющейся материалом нерегулярного потребления (МНР), либо хим.продукции с критичным для Покупателя сроком поставки." sqref="B55" xr:uid="{00000000-0002-0000-0300-000004000000}"/>
    <dataValidation allowBlank="1" showInputMessage="1" showErrorMessage="1" prompt="внесите в п.8.1.-8.2. кол-во месяцев и повторно выберите гарантию" sqref="C53" xr:uid="{00000000-0002-0000-0300-000005000000}"/>
    <dataValidation allowBlank="1" showInputMessage="1" showErrorMessage="1" prompt="Укажите адрес Поставщика для отправки оригинала ДД в п.14.2" sqref="C13" xr:uid="{00000000-0002-0000-0300-000006000000}"/>
    <dataValidation type="list" allowBlank="1" showInputMessage="1" showErrorMessage="1" prompt="Внесите процент предоплаты, если требуется" sqref="C46" xr:uid="{00000000-0002-0000-0300-000007000000}">
      <formula1>"5%,10%,20%,30%,40%,50%,60%,70%,80%,90%,100%"</formula1>
    </dataValidation>
    <dataValidation type="list" allowBlank="1" showInputMessage="1" showErrorMessage="1" sqref="C111" xr:uid="{00000000-0002-0000-0300-000008000000}">
      <formula1>"(Выпадающий список), Устава, Доверенности,ИП,Договора управления"</formula1>
    </dataValidation>
    <dataValidation type="list" allowBlank="1" showInputMessage="1" showErrorMessage="1" sqref="C97" xr:uid="{00000000-0002-0000-0300-000009000000}">
      <formula1>"да,нет"</formula1>
    </dataValidation>
    <dataValidation type="whole" allowBlank="1" showInputMessage="1" showErrorMessage="1" prompt="ПОСТОПЛАТА: Введите число от 15 до 100 календарных дней" sqref="C43" xr:uid="{00000000-0002-0000-0300-00000A000000}">
      <formula1>5</formula1>
      <formula2>100</formula2>
    </dataValidation>
    <dataValidation type="whole" allowBlank="1" showInputMessage="1" showErrorMessage="1" prompt="ПРЕДОПЛАТА: Введите число от 15 до 100 календарных дней" sqref="C42" xr:uid="{00000000-0002-0000-0300-00000B000000}">
      <formula1>5</formula1>
      <formula2>100</formula2>
    </dataValidation>
    <dataValidation type="list" allowBlank="1" showInputMessage="1" showErrorMessage="1" sqref="C114" xr:uid="{00000000-0002-0000-0300-00000C000000}">
      <formula1>$K$2:$K$6</formula1>
    </dataValidation>
    <dataValidation type="whole" allowBlank="1" showInputMessage="1" showErrorMessage="1" prompt=" Введите кол-во календарных дней" sqref="C25" xr:uid="{00000000-0002-0000-0300-00000D000000}">
      <formula1>2</formula1>
      <formula2>100</formula2>
    </dataValidation>
    <dataValidation allowBlank="1" showInputMessage="1" showErrorMessage="1" prompt="_x000a_" sqref="C16" xr:uid="{00000000-0002-0000-0300-00000E000000}"/>
    <dataValidation allowBlank="1" showInputMessage="1" showErrorMessage="1" prompt="Сначала определите базовые условия олаты._x000a_Если требуется, заполните 6.2.1-6.2.4 и повторно выберите порядок оплаты_x000a_" sqref="C34" xr:uid="{00000000-0002-0000-0300-00000F000000}"/>
    <dataValidation type="whole" allowBlank="1" showInputMessage="1" showErrorMessage="1" prompt="ПРЕДОПЛАТА: Введите число от 15 до 100 календарных дней" sqref="C35" xr:uid="{00000000-0002-0000-0300-000010000000}">
      <formula1>1</formula1>
      <formula2>100</formula2>
    </dataValidation>
    <dataValidation allowBlank="1" showInputMessage="1" showErrorMessage="1" prompt="Если сотрудник ЦОБ, то данные в справочнике столбцы U:W" sqref="B16" xr:uid="{00000000-0002-0000-0300-000011000000}"/>
    <dataValidation type="list" allowBlank="1" showInputMessage="1" showErrorMessage="1" prompt="Сначала определите базовые условия оплаты *6.2.0._x000a_Если требуется, заполните *6.2.1-*6.2.6 и повторно выберите порядок оплаты_x000a_" sqref="C41" xr:uid="{00000000-0002-0000-0300-000012000000}">
      <formula1>INDIRECT($C$40)</formula1>
    </dataValidation>
    <dataValidation type="list" allowBlank="1" showInputMessage="1" showErrorMessage="1" sqref="C118" xr:uid="{00000000-0002-0000-0300-000013000000}">
      <formula1>"(Выпадающий список), Доверенности,Альтернативное подписание"</formula1>
    </dataValidation>
    <dataValidation type="list" allowBlank="1" showInputMessage="1" showErrorMessage="1" sqref="C102" xr:uid="{00000000-0002-0000-0300-000014000000}">
      <formula1>$L$2:$L$6</formula1>
    </dataValidation>
    <dataValidation type="list" allowBlank="1" showInputMessage="1" showErrorMessage="1" prompt="Внесите процент предоплаты, если требуется" sqref="C37" xr:uid="{00000000-0002-0000-0300-000015000000}">
      <formula1>"10%,20%,30%,40%,50%,60%,70%,80%,90%,100%"</formula1>
    </dataValidation>
    <dataValidation allowBlank="1" showInputMessage="1" showErrorMessage="1" prompt="Автоматический расчет,введите % предоплаты" sqref="C38 C47" xr:uid="{00000000-0002-0000-0300-000016000000}"/>
    <dataValidation allowBlank="1" showInputMessage="1" showErrorMessage="1" prompt="Данное условие может быть применимо только при закупке товара, приобретаемого насыпью, наливом, по весу или объему" sqref="C88" xr:uid="{00000000-0002-0000-0300-000017000000}"/>
    <dataValidation type="list" allowBlank="1" showInputMessage="1" showErrorMessage="1" prompt="Заполните 7.2.0-7.2.5 и повторно выберите порядок оплаты" sqref="C48" xr:uid="{00000000-0002-0000-0300-000018000000}">
      <formula1>INDIRECT($C$33)</formula1>
    </dataValidation>
    <dataValidation type="whole" allowBlank="1" showInputMessage="1" showErrorMessage="1" prompt="ПОСТОПЛАТА: Введите число от 15 до 100 календарных дней" sqref="C36" xr:uid="{00000000-0002-0000-0300-000019000000}">
      <formula1>1</formula1>
      <formula2>100</formula2>
    </dataValidation>
    <dataValidation type="decimal" allowBlank="1" showInputMessage="1" showErrorMessage="1" sqref="C89 C92" xr:uid="{00000000-0002-0000-0300-00001A000000}">
      <formula1>0</formula1>
      <formula2>1</formula2>
    </dataValidation>
    <dataValidation type="date" allowBlank="1" showInputMessage="1" showErrorMessage="1" prompt="Введите дату" sqref="C91" xr:uid="{00000000-0002-0000-0300-00001B000000}">
      <formula1>36526</formula1>
      <formula2>401769</formula2>
    </dataValidation>
    <dataValidation type="whole" allowBlank="1" showInputMessage="1" showErrorMessage="1" sqref="C93 C96" xr:uid="{00000000-0002-0000-0300-00001C000000}">
      <formula1>0</formula1>
      <formula2>10000</formula2>
    </dataValidation>
    <dataValidation allowBlank="1" showInputMessage="1" showErrorMessage="1" prompt="Внесите дату, к пример: 01.01.2000" sqref="C7 C26:C28 C120 C113 C5 C44:C45" xr:uid="{00000000-0002-0000-0300-00001D000000}"/>
  </dataValidations>
  <pageMargins left="0.7" right="0.7" top="0.75" bottom="0.75" header="0.3" footer="0.3"/>
  <pageSetup paperSize="9" orientation="portrait" r:id="rId1"/>
  <customProperties>
    <customPr name="EpmWorksheetKeyString_GUID" r:id="rId2"/>
  </customProperties>
  <ignoredErrors>
    <ignoredError sqref="A76:A87 A91 A92:A93" twoDigitTextYear="1"/>
  </ignoredErrors>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errorTitle="Нарушение % по трем ценам" error="3-ая цена не может уменьшать стоимость поставки более чем на 20%." prompt="Введите процент скидки от 0 до 20, без знака %" xr:uid="{00000000-0002-0000-0300-00001E000000}">
          <x14:formula1>
            <xm:f>Справочник!$Y$2:$Y$11</xm:f>
          </x14:formula1>
          <xm:sqref>C56</xm:sqref>
        </x14:dataValidation>
        <x14:dataValidation type="list" allowBlank="1" showInputMessage="1" showErrorMessage="1" errorTitle="Нарушение % по трем ценам" error="3-ая цена не может уменьшать стоимость поставки более чем на 20%._x000a_" prompt="Введите процент скидки от 0 до 20, без знака %" xr:uid="{00000000-0002-0000-0300-00001F000000}">
          <x14:formula1>
            <xm:f>Справочник!$Z$2:$Z$12</xm:f>
          </x14:formula1>
          <xm:sqref>C57</xm:sqref>
        </x14:dataValidation>
        <x14:dataValidation type="list" allowBlank="1" showInputMessage="1" showErrorMessage="1" xr:uid="{00000000-0002-0000-0300-000020000000}">
          <x14:formula1>
            <xm:f>Справочник!$I$2:$I$5</xm:f>
          </x14:formula1>
          <xm:sqref>C32</xm:sqref>
        </x14:dataValidation>
        <x14:dataValidation type="list" allowBlank="1" showInputMessage="1" showErrorMessage="1" xr:uid="{00000000-0002-0000-0300-000021000000}">
          <x14:formula1>
            <xm:f>Справочник!$P$2:$P$7</xm:f>
          </x14:formula1>
          <xm:sqref>C54</xm:sqref>
        </x14:dataValidation>
        <x14:dataValidation type="list" allowBlank="1" showInputMessage="1" showErrorMessage="1" prompt="если требуется, заполните 5.1-5.4 и повторно выберите срок поставки" xr:uid="{00000000-0002-0000-0300-000022000000}">
          <x14:formula1>
            <xm:f>Справочник!$H$2:$H$9</xm:f>
          </x14:formula1>
          <xm:sqref>C24</xm:sqref>
        </x14:dataValidation>
        <x14:dataValidation type="list" allowBlank="1" showInputMessage="1" showErrorMessage="1" xr:uid="{00000000-0002-0000-0300-000023000000}">
          <x14:formula1>
            <xm:f>Справочник!$M$2:$M$5</xm:f>
          </x14:formula1>
          <xm:sqref>C40</xm:sqref>
        </x14:dataValidation>
        <x14:dataValidation type="list" allowBlank="1" showInputMessage="1" showErrorMessage="1" xr:uid="{00000000-0002-0000-0300-000024000000}">
          <x14:formula1>
            <xm:f>Справочник!$F$4:$F$8</xm:f>
          </x14:formula1>
          <xm:sqref>C19</xm:sqref>
        </x14:dataValidation>
        <x14:dataValidation type="list" allowBlank="1" showInputMessage="1" showErrorMessage="1" xr:uid="{00000000-0002-0000-0300-000025000000}">
          <x14:formula1>
            <xm:f>Справочник!$J$2:$J$5</xm:f>
          </x14:formula1>
          <xm:sqref>C33</xm:sqref>
        </x14:dataValidation>
        <x14:dataValidation type="list" allowBlank="1" showInputMessage="1" showErrorMessage="1" xr:uid="{00000000-0002-0000-0300-000026000000}">
          <x14:formula1>
            <xm:f>Справочник!$W$2:$W$9</xm:f>
          </x14:formula1>
          <xm:sqref>C14</xm:sqref>
        </x14:dataValidation>
        <x14:dataValidation type="list" allowBlank="1" showInputMessage="1" showErrorMessage="1" xr:uid="{00000000-0002-0000-0300-000027000000}">
          <x14:formula1>
            <xm:f>Справочник!$Q$4:$Q$9</xm:f>
          </x14:formula1>
          <xm:sqref>C29</xm:sqref>
        </x14:dataValidation>
        <x14:dataValidation type="list" allowBlank="1" showInputMessage="1" showErrorMessage="1" xr:uid="{00000000-0002-0000-0300-000028000000}">
          <x14:formula1>
            <xm:f>Справочник!$R$2:$R$100</xm:f>
          </x14:formula1>
          <xm:sqref>C52</xm:sqref>
        </x14:dataValidation>
        <x14:dataValidation type="list" allowBlank="1" showInputMessage="1" showErrorMessage="1" xr:uid="{00000000-0002-0000-0300-000029000000}">
          <x14:formula1>
            <xm:f>Справочник!$A$2:$A$64</xm:f>
          </x14:formula1>
          <xm:sqref>C11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
  <dimension ref="A1:C6"/>
  <sheetViews>
    <sheetView showGridLines="0" workbookViewId="0" xr3:uid="{F9CF3CF3-643B-5BE6-8B46-32C596A47465}">
      <selection activeCell="A3" sqref="A3"/>
    </sheetView>
  </sheetViews>
  <sheetFormatPr defaultRowHeight="12.6"/>
  <cols>
    <col min="2" max="2" width="71.5703125" customWidth="1"/>
    <col min="3" max="3" width="15" customWidth="1"/>
  </cols>
  <sheetData>
    <row r="1" spans="1:3" s="25" customFormat="1" ht="29.25" customHeight="1">
      <c r="A1" s="24" t="s">
        <v>301</v>
      </c>
    </row>
    <row r="2" spans="1:3" s="3" customFormat="1" ht="26.1">
      <c r="A2" s="2" t="s">
        <v>302</v>
      </c>
      <c r="B2" s="2" t="s">
        <v>303</v>
      </c>
      <c r="C2" s="1" t="s">
        <v>304</v>
      </c>
    </row>
    <row r="3" spans="1:3" ht="30.75" customHeight="1">
      <c r="A3" s="20">
        <v>1</v>
      </c>
      <c r="B3" s="22" t="s">
        <v>305</v>
      </c>
      <c r="C3" s="23" t="s">
        <v>306</v>
      </c>
    </row>
    <row r="4" spans="1:3" ht="55.5" customHeight="1">
      <c r="A4" s="20">
        <v>2</v>
      </c>
      <c r="B4" s="22" t="s">
        <v>307</v>
      </c>
      <c r="C4" s="23" t="s">
        <v>308</v>
      </c>
    </row>
    <row r="5" spans="1:3" ht="41.25" customHeight="1">
      <c r="A5" s="20">
        <v>3</v>
      </c>
      <c r="B5" s="22" t="s">
        <v>309</v>
      </c>
      <c r="C5" s="23" t="s">
        <v>308</v>
      </c>
    </row>
    <row r="6" spans="1:3" ht="30.75" customHeight="1"/>
  </sheetData>
  <hyperlinks>
    <hyperlink ref="C3" location="'Форма ввода'!A1" display="форма" xr:uid="{00000000-0004-0000-0400-000000000000}"/>
    <hyperlink ref="C4" location="ДС!A1" display="ДС" xr:uid="{00000000-0004-0000-0400-000001000000}"/>
    <hyperlink ref="C5" location="ДС!A1" display="ДС" xr:uid="{00000000-0004-0000-0400-000002000000}"/>
  </hyperlinks>
  <pageMargins left="0.7" right="0.7" top="0.75" bottom="0.75" header="0.3" footer="0.3"/>
  <pageSetup paperSize="9" orientation="portrait" horizontalDpi="0" verticalDpi="0" r:id="rId1"/>
  <customProperties>
    <customPr name="EpmWorksheetKeyString_GUID"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4"/>
  <dimension ref="A1:Z105"/>
  <sheetViews>
    <sheetView zoomScale="70" zoomScaleNormal="70" workbookViewId="0" xr3:uid="{78B4E459-6924-5F8B-B7BA-2DD04133E49E}">
      <pane ySplit="1" topLeftCell="A47" activePane="bottomLeft" state="frozen"/>
      <selection pane="bottomLeft" activeCell="C72" sqref="C72"/>
      <selection activeCell="L1" sqref="L1"/>
    </sheetView>
  </sheetViews>
  <sheetFormatPr defaultRowHeight="12.6"/>
  <cols>
    <col min="1" max="1" width="40.85546875" customWidth="1"/>
    <col min="2" max="2" width="52.28515625" customWidth="1"/>
    <col min="3" max="3" width="101.7109375" bestFit="1" customWidth="1"/>
    <col min="4" max="4" width="13.5703125" customWidth="1"/>
    <col min="5" max="5" width="21.42578125" customWidth="1"/>
    <col min="6" max="6" width="40.42578125" style="14" customWidth="1"/>
    <col min="7" max="7" width="118.5703125" style="14" bestFit="1" customWidth="1"/>
    <col min="8" max="10" width="40.42578125" customWidth="1"/>
    <col min="11" max="11" width="22.140625" customWidth="1"/>
    <col min="12" max="12" width="72.85546875" customWidth="1"/>
    <col min="13" max="13" width="22.42578125" customWidth="1"/>
    <col min="14" max="14" width="12" customWidth="1"/>
    <col min="15" max="15" width="71.140625" customWidth="1"/>
    <col min="16" max="18" width="40.42578125" customWidth="1"/>
    <col min="19" max="19" width="62" bestFit="1" customWidth="1"/>
    <col min="20" max="20" width="37.7109375" style="14" bestFit="1" customWidth="1"/>
    <col min="21" max="21" width="40.85546875" style="14" bestFit="1" customWidth="1"/>
    <col min="22" max="22" width="20.5703125" style="14" customWidth="1"/>
    <col min="23" max="23" width="32" customWidth="1"/>
    <col min="24" max="24" width="16.42578125" customWidth="1"/>
  </cols>
  <sheetData>
    <row r="1" spans="1:26" ht="26.85" customHeight="1">
      <c r="A1" s="301" t="s">
        <v>310</v>
      </c>
      <c r="B1" s="300" t="s">
        <v>311</v>
      </c>
      <c r="C1" s="293" t="s">
        <v>312</v>
      </c>
      <c r="D1" s="293" t="s">
        <v>313</v>
      </c>
      <c r="E1" s="293" t="s">
        <v>314</v>
      </c>
      <c r="F1" s="293" t="s">
        <v>315</v>
      </c>
      <c r="G1" s="293" t="s">
        <v>12</v>
      </c>
      <c r="H1" s="282" t="s">
        <v>250</v>
      </c>
      <c r="I1" s="282" t="s">
        <v>316</v>
      </c>
      <c r="J1" s="283" t="s">
        <v>317</v>
      </c>
      <c r="K1" s="281"/>
      <c r="L1" s="260" t="s">
        <v>318</v>
      </c>
      <c r="M1" s="259" t="s">
        <v>319</v>
      </c>
      <c r="N1" s="260"/>
      <c r="O1" s="4" t="s">
        <v>320</v>
      </c>
      <c r="P1" s="4" t="s">
        <v>321</v>
      </c>
      <c r="Q1" s="5" t="s">
        <v>102</v>
      </c>
      <c r="R1" s="221" t="s">
        <v>322</v>
      </c>
      <c r="S1" s="222" t="s">
        <v>323</v>
      </c>
      <c r="T1" s="223" t="s">
        <v>324</v>
      </c>
      <c r="U1" s="223" t="s">
        <v>325</v>
      </c>
      <c r="V1" s="212"/>
      <c r="W1" s="210" t="s">
        <v>326</v>
      </c>
      <c r="X1" s="210" t="s">
        <v>326</v>
      </c>
      <c r="Y1" s="4" t="s">
        <v>327</v>
      </c>
      <c r="Z1" s="4" t="s">
        <v>328</v>
      </c>
    </row>
    <row r="2" spans="1:26" s="8" customFormat="1" ht="21.75" customHeight="1">
      <c r="A2" s="262" t="s">
        <v>76</v>
      </c>
      <c r="B2" s="262" t="s">
        <v>76</v>
      </c>
      <c r="C2" s="262" t="s">
        <v>76</v>
      </c>
      <c r="D2" s="263">
        <v>1</v>
      </c>
      <c r="E2" s="263" t="s">
        <v>329</v>
      </c>
      <c r="F2" s="264" t="s">
        <v>76</v>
      </c>
      <c r="G2" s="264" t="s">
        <v>76</v>
      </c>
      <c r="H2" s="213" t="s">
        <v>76</v>
      </c>
      <c r="I2" s="213" t="s">
        <v>76</v>
      </c>
      <c r="J2" s="213" t="s">
        <v>76</v>
      </c>
      <c r="K2" s="213"/>
      <c r="L2" s="213" t="s">
        <v>76</v>
      </c>
      <c r="M2" s="213" t="s">
        <v>76</v>
      </c>
      <c r="N2" s="213"/>
      <c r="O2" s="209" t="s">
        <v>76</v>
      </c>
      <c r="P2" s="7" t="s">
        <v>76</v>
      </c>
      <c r="Q2" s="6" t="s">
        <v>76</v>
      </c>
      <c r="R2" s="176" t="s">
        <v>76</v>
      </c>
      <c r="S2" s="208" t="s">
        <v>76</v>
      </c>
      <c r="T2" s="208" t="s">
        <v>76</v>
      </c>
      <c r="U2" s="208" t="s">
        <v>76</v>
      </c>
      <c r="V2" s="14"/>
      <c r="W2" s="211" t="s">
        <v>76</v>
      </c>
      <c r="X2" s="211"/>
      <c r="Y2" s="311">
        <v>0.1</v>
      </c>
      <c r="Z2" s="311">
        <v>0.2</v>
      </c>
    </row>
    <row r="3" spans="1:26" s="8" customFormat="1" ht="75.75" customHeight="1">
      <c r="A3" s="265" t="s">
        <v>330</v>
      </c>
      <c r="B3" s="265" t="s">
        <v>330</v>
      </c>
      <c r="C3" s="265" t="s">
        <v>331</v>
      </c>
      <c r="D3" s="263">
        <v>2</v>
      </c>
      <c r="E3" s="263" t="s">
        <v>332</v>
      </c>
      <c r="F3" s="264" t="s">
        <v>86</v>
      </c>
      <c r="G3" s="262" t="s">
        <v>333</v>
      </c>
      <c r="H3" s="213" t="s">
        <v>334</v>
      </c>
      <c r="I3" s="213" t="s">
        <v>108</v>
      </c>
      <c r="J3" s="213" t="s">
        <v>335</v>
      </c>
      <c r="K3" s="213" t="s">
        <v>336</v>
      </c>
      <c r="L3" s="213" t="str">
        <f>CONCATENATE("Оплата Товара производится Покупателем в первый рабочий четверг, а если Покупателем является предприятие Республики Татарстан - первый рабочий вторник, по истечении ",'Форма ввода'!$C$36," календарных дней, исчисляемых начиная со дня, следующего за датой поставки Товара.")</f>
        <v>Оплата Товара производится Покупателем в первый рабочий четверг, а если Покупателем является предприятие Республики Татарстан - первый рабочий вторник, по истечении  календарных дней, исчисляемых начиная со дня, следующего за датой поставки Товара.</v>
      </c>
      <c r="M3" s="213" t="s">
        <v>337</v>
      </c>
      <c r="N3" s="213" t="s">
        <v>338</v>
      </c>
      <c r="O3" s="257" t="str">
        <f>CONCATENATE("Оплата Товара производится Покупателем не позднее ",'Форма ввода'!$C$43," календарных дней, исчисляемых начиная со дня, следующего за датой поставки Товара.")</f>
        <v>Оплата Товара производится Покупателем не позднее  календарных дней, исчисляемых начиная со дня, следующего за датой поставки Товара.</v>
      </c>
      <c r="P3" s="7" t="s">
        <v>339</v>
      </c>
      <c r="Q3" s="220" t="str">
        <f>CONCATENATE("Дата передачи Товара транспортной компании на складе (терминале) транспортной компании по адресу:
",'Форма ввода'!C30,".")</f>
        <v>Дата передачи Товара транспортной компании на складе (терминале) транспортной компании по адресу:
.</v>
      </c>
      <c r="R3" s="176" t="s">
        <v>340</v>
      </c>
      <c r="S3" s="208" t="s">
        <v>341</v>
      </c>
      <c r="T3" s="224" t="s">
        <v>342</v>
      </c>
      <c r="U3" s="225" t="s">
        <v>343</v>
      </c>
      <c r="V3" s="213"/>
      <c r="W3" s="176" t="s">
        <v>80</v>
      </c>
      <c r="X3" s="176" t="s">
        <v>344</v>
      </c>
      <c r="Y3" s="311">
        <v>0.09</v>
      </c>
      <c r="Z3" s="311">
        <v>0.19</v>
      </c>
    </row>
    <row r="4" spans="1:26" s="8" customFormat="1" ht="190.5" customHeight="1">
      <c r="A4" s="265" t="s">
        <v>345</v>
      </c>
      <c r="B4" s="265" t="s">
        <v>345</v>
      </c>
      <c r="C4" s="265" t="s">
        <v>346</v>
      </c>
      <c r="D4" s="263">
        <v>3</v>
      </c>
      <c r="E4" s="263" t="s">
        <v>347</v>
      </c>
      <c r="F4" s="264" t="s">
        <v>348</v>
      </c>
      <c r="G4" s="262" t="s">
        <v>349</v>
      </c>
      <c r="H4" s="213" t="str">
        <f>CONCATENATE("в течение ",'Форма ввода'!C25," календарных дней с даты подписания настоящего дополнительного соглашения, но не ранее ",TEXT(DAY('Форма ввода'!C26),"00")&amp;" "&amp;VLOOKUP(MONTH('Форма ввода'!C26),Справочник!$D$2:$E$13,2,0)&amp;" "&amp;YEAR('Форма ввода'!C26)&amp;" г.")</f>
        <v>в течение  календарных дней с даты подписания настоящего дополнительного соглашения, но не ранее 00 января 1900 г.</v>
      </c>
      <c r="I4" s="261" t="s">
        <v>350</v>
      </c>
      <c r="J4" s="213" t="s">
        <v>336</v>
      </c>
      <c r="K4" s="213" t="s">
        <v>335</v>
      </c>
      <c r="L4" s="213" t="str">
        <f>CONCATENATE("Оплата Товара производится Покупателем в порядке предварительной оплаты в размере 100%"," стоимости Товара в первый рабочий четверг, а если Покупателем является предприятие Республики Татарстан - первый рабочий вторник, по истечении ",'Форма ввода'!$C$35," календарных дней, исчисляемых начиная со дня, следующего за датой заключения настоящего Дополнительного соглашения."&amp;" Авансовый платеж зачитывается в счет оплаты поставленного Товара в сумме, подлежащей оплате Поставщику." &amp;" Зачет аванса производится, начиная с первого первичного документа, и по каждому следующему. " &amp;"Если аванс меньше или равен сумме поставленного Товара, то аванс зачитывается в полном размере. " &amp;"Если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 &amp;"оплата производится за вычетом зачтенного аванса/части аванса. Если Стороны договорятся о выплате нескольких авансовых платежей," &amp;"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100% стоимости Товара в первый рабочий четверг, а если Покупателем является предприятие Республики Татарстан - первый рабочий вторник, по истечении  календарных дней, исчисляемых начиная со дня, следующего за датой заключения настоящего Дополнительного соглашения.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M4" s="213" t="s">
        <v>338</v>
      </c>
      <c r="N4" s="213" t="s">
        <v>337</v>
      </c>
      <c r="O4" s="209" t="str">
        <f>CONCATENATE("Оплата Товара производится Покупателем в порядке предварительной оплаты  в размере 100%"," стоимости Товара не позднее ",TEXT(DAY('Форма ввода'!C44),"00")&amp;" "&amp;VLOOKUP(MONTH('Форма ввода'!C44),Справочник!$D$2:$E$13,2,0)&amp;" "&amp;YEAR('Форма ввода'!C44)&amp;" г."&amp;" Авансовый платеж зачитывается в счет оплаты поставленного Товара в сумме, подлежащей оплате Поставщику." &amp;" Зачет аванса производится, начиная с первого первичного документа, и по каждому следующему. " &amp;"Если аванс меньше или равен сумме поставленного Товара, то аванс зачитывается в полном размере. " &amp;"Если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 &amp;"оплата производится за вычетом зачтенного аванса/части аванса. Если Стороны договорятся о выплате нескольких авансовых платежей," &amp;"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100% стоимости Товара не позднее 00 января 1900 г.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P4" s="7" t="str">
        <f>CONCATENATE('Форма ввода'!C51," с даты ввода в эксплуатацию, но не более ",'Форма ввода'!C52," с даты поставки Товара.")</f>
        <v>сертификате качества с даты ввода в эксплуатацию, но не более (Выпадающий список) с даты поставки Товара.</v>
      </c>
      <c r="Q4" s="6" t="s">
        <v>351</v>
      </c>
      <c r="R4" s="176" t="s">
        <v>352</v>
      </c>
      <c r="S4" s="226" t="s">
        <v>353</v>
      </c>
      <c r="T4" s="227" t="s">
        <v>354</v>
      </c>
      <c r="U4" s="225" t="s">
        <v>355</v>
      </c>
      <c r="V4" s="214"/>
      <c r="W4" s="176" t="s">
        <v>356</v>
      </c>
      <c r="X4" s="176" t="s">
        <v>357</v>
      </c>
      <c r="Y4" s="311">
        <v>0.08</v>
      </c>
      <c r="Z4" s="311">
        <v>0.18</v>
      </c>
    </row>
    <row r="5" spans="1:26" ht="207">
      <c r="A5" s="265" t="s">
        <v>358</v>
      </c>
      <c r="B5" s="265" t="s">
        <v>358</v>
      </c>
      <c r="C5" s="265" t="s">
        <v>359</v>
      </c>
      <c r="D5" s="263">
        <v>4</v>
      </c>
      <c r="E5" s="263" t="s">
        <v>360</v>
      </c>
      <c r="F5" s="264" t="s">
        <v>361</v>
      </c>
      <c r="G5" s="262" t="s">
        <v>362</v>
      </c>
      <c r="H5" s="261" t="str">
        <f>CONCATENATE("в течение ",'Форма ввода'!C25," календарных дней с даты перечисления авансового платежа, но не ранее ",TEXT(DAY('Форма ввода'!C26),"00")&amp;" "&amp;VLOOKUP(MONTH('Форма ввода'!C26),Справочник!$D$2:$E$13,2,0)&amp;" "&amp;YEAR('Форма ввода'!C26)&amp;" г.")</f>
        <v>в течение  календарных дней с даты перечисления авансового платежа, но не ранее 00 января 1900 г.</v>
      </c>
      <c r="I5" s="213" t="s">
        <v>363</v>
      </c>
      <c r="J5" s="261" t="s">
        <v>364</v>
      </c>
      <c r="K5" s="261" t="s">
        <v>364</v>
      </c>
      <c r="L5" s="213" t="str">
        <f>CONCATENATE("Оплата Товара производится Покупателем в порядке предварительной оплаты  в размере ",TEXT('Форма ввода'!$C$37,"0%")," стоимости Товара в первый рабочий четверг, а если Покупателем является предприятие Республики Татарстан - первый рабочий вторник, по истечении ",'Форма ввода'!$C$35," календарных дней, исчисляемых начиная со дня,  следующего за датой заключения настоящего Дополнительного соглашения."," Оплата Товара в размере ",TEXT('Форма ввода'!$C$38,"0%")," стоимости Товара производится  в первый рабочий четверг, а если Покупателем является предприятие Республики Татарстан - первый рабочий вторник, по истечении ", 'Форма ввода'!$C$36, " календарных дней, исчисляемых начиная со дня, следующего за датой поставки Товара."&amp;" Авансовый платеж зачитывается в счет оплаты поставленного Товара в сумме, подлежащей оплате Поставщику." &amp;" Зачет аванса производится, начиная с первого первичного документа, и по каждому следующему. " &amp;"Если аванс меньше или равен сумме поставленного Товара, то аванс зачитывается в полном размере. " &amp;"Если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 &amp;"оплата производится за вычетом зачтенного аванса/части аванса. Если Стороны договорятся о выплате нескольких авансовых платежей," &amp;"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0% стоимости Товара в первый рабочий четверг, а если Покупателем является предприятие Республики Татарстан - первый рабочий вторник, по истечении  календарных дней, исчисляемых начиная со дня,  следующего за датой заключения настоящего Дополнительного соглашения. Оплата Товара в размере 100% стоимости Товара производится  в первый рабочий четверг, а если Покупателем является предприятие Республики Татарстан - первый рабочий вторник, по истечении  календарных дней, исчисляемых начиная со дня, следующего за датой поставки Товара.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M5" s="261" t="s">
        <v>365</v>
      </c>
      <c r="N5" s="213" t="s">
        <v>337</v>
      </c>
      <c r="O5" s="257" t="str">
        <f>CONCATENATE("Оплата Товара производится Покупателем в порядке предварительной оплаты в размере 100%"," стоимости Товара не позднее ",'Форма ввода'!$C$42," календарных дней, исчисляемых начиная со дня, следующего за датой заключения настоящего Дополнительного соглашения."&amp;" Авансовый платеж зачитывается в счет оплаты поставленного Товара в сумме, подлежащей оплате Поставщику." &amp;" Зачет аванса производится, начиная с первого первичного документа, и по каждому следующему. " &amp;"Если аванс меньше или равен сумме поставленного Товара, то аванс зачитывается в полном размере. " &amp;"Если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 &amp;"оплата производится за вычетом зачтенного аванса/части аванса. Если Стороны договорятся о выплате нескольких авансовых платежей," &amp;"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100% стоимости Товара не позднее  календарных дней, исчисляемых начиная со дня, следующего за датой заключения настоящего Дополнительного соглашения.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P5" s="7" t="str">
        <f>CONCATENATE('Форма ввода'!C52," с даты поставки Товара.")</f>
        <v>(Выпадающий список) с даты поставки Товара.</v>
      </c>
      <c r="Q5" s="219" t="s">
        <v>255</v>
      </c>
      <c r="R5" s="176" t="s">
        <v>366</v>
      </c>
      <c r="S5" s="226" t="s">
        <v>367</v>
      </c>
      <c r="T5" s="227" t="s">
        <v>368</v>
      </c>
      <c r="U5" s="225" t="s">
        <v>369</v>
      </c>
      <c r="V5" s="213"/>
      <c r="W5" s="176" t="s">
        <v>370</v>
      </c>
      <c r="X5" s="176" t="s">
        <v>371</v>
      </c>
      <c r="Y5" s="311">
        <v>7.0000000000000007E-2</v>
      </c>
      <c r="Z5" s="311">
        <v>0.17</v>
      </c>
    </row>
    <row r="6" spans="1:26" ht="161.1">
      <c r="A6" s="265" t="s">
        <v>372</v>
      </c>
      <c r="B6" s="265" t="s">
        <v>372</v>
      </c>
      <c r="C6" s="265" t="s">
        <v>373</v>
      </c>
      <c r="D6" s="263">
        <v>5</v>
      </c>
      <c r="E6" s="263" t="s">
        <v>374</v>
      </c>
      <c r="F6" s="264" t="s">
        <v>375</v>
      </c>
      <c r="G6" s="262" t="s">
        <v>376</v>
      </c>
      <c r="H6" s="261" t="str">
        <f>CONCATENATE(TEXT(DAY('Форма ввода'!C26),"00")&amp;" "&amp;VLOOKUP(MONTH('Форма ввода'!C26),Справочник!$D$2:$E$13,2,0)&amp;" "&amp;YEAR('Форма ввода'!C26)&amp;" г.")</f>
        <v>00 января 1900 г.</v>
      </c>
      <c r="J6" s="213"/>
      <c r="M6" s="213"/>
      <c r="N6" s="261"/>
      <c r="O6" s="209" t="str">
        <f>CONCATENATE("Оплата Товара производится Покупателем в порядке предварительной оплаты  в размере ",TEXT('Форма ввода'!$C$46,"0%")," стоимости Товара  не позднее ",TEXT(DAY('Форма ввода'!C44),"00")&amp;" "&amp;VLOOKUP(MONTH('Форма ввода'!C44),Справочник!$D$2:$E$13,2,0)&amp;" "&amp;YEAR('Форма ввода'!C44)&amp;" г.",
"
Оплата Товара в размере ",TEXT('Форма ввода'!$C$47,"0%")," стоимости Товара производится Покупателем не позднее ",'Форма ввода'!$C$43," календарных дней, исчисляемых начиная со дня, следующего за датой поставки Товара."&amp;" Авансовый платеж зачитывается в счет оплаты поставленного Товара в сумме, подлежащей оплате Поставщику." &amp;" Зачет аванса производится, начиная с первого первичного документа, и по каждому следующему. " &amp;"Если аванс меньше или равен сумме поставленного Товара, то аванс зачитывается в полном размере. " &amp;"Если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 &amp;"оплата производится за вычетом зачтенного аванса/части аванса. Если Стороны договорятся о выплате нескольких авансовых платежей," &amp;"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0% стоимости Товара  не позднее 00 января 1900 г.
Оплата Товара в размере 100% стоимости Товара производится Покупателем не позднее  календарных дней, исчисляемых начиная со дня, следующего за датой поставки Товара.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P6" s="10"/>
      <c r="Q6" s="219" t="s">
        <v>377</v>
      </c>
      <c r="R6" s="176" t="s">
        <v>378</v>
      </c>
      <c r="S6" s="226" t="s">
        <v>379</v>
      </c>
      <c r="T6" s="227" t="s">
        <v>380</v>
      </c>
      <c r="U6" s="208" t="s">
        <v>381</v>
      </c>
      <c r="V6" s="213"/>
      <c r="W6" s="176" t="s">
        <v>382</v>
      </c>
      <c r="X6" s="176" t="s">
        <v>383</v>
      </c>
      <c r="Y6" s="311">
        <v>0.06</v>
      </c>
      <c r="Z6" s="311">
        <v>0.16</v>
      </c>
    </row>
    <row r="7" spans="1:26" ht="89.45" customHeight="1">
      <c r="A7" s="265" t="s">
        <v>384</v>
      </c>
      <c r="B7" s="265" t="s">
        <v>384</v>
      </c>
      <c r="C7" s="265" t="s">
        <v>385</v>
      </c>
      <c r="D7" s="263">
        <v>6</v>
      </c>
      <c r="E7" s="263" t="s">
        <v>386</v>
      </c>
      <c r="F7" s="264" t="s">
        <v>387</v>
      </c>
      <c r="G7" s="262" t="s">
        <v>388</v>
      </c>
      <c r="H7" s="261" t="str">
        <f>CONCATENATE("с ", TEXT(DAY('Форма ввода'!C26),"00")&amp;" "&amp;VLOOKUP(MONTH('Форма ввода'!C26),Справочник!$D$2:$E$13,2,0)&amp;" "&amp;YEAR('Форма ввода'!C26)&amp;" г. по ",TEXT(DAY('Форма ввода'!C27),"00")&amp;" "&amp;VLOOKUP(MONTH('Форма ввода'!C27),Справочник!$D$2:$E$13,2,0)&amp;" "&amp;YEAR('Форма ввода'!C27)&amp;" г.")</f>
        <v>с 00 января 1900 г. по 00 января 1900 г.</v>
      </c>
      <c r="K7" s="213" t="s">
        <v>336</v>
      </c>
      <c r="L7" s="213" t="str">
        <f>CONCATENATE("Оплата Товара производится Покупателем в первый рабочий четверг, а если Покупателем является предприятие Республики Татарстан - первый рабочий вторник, по истечении ",'Форма ввода (консолид.ДС)'!$C$36," календарных дней, исчисляемых начиная со дня, следующего за датой поставки Товара.")</f>
        <v>Оплата Товара производится Покупателем в первый рабочий четверг, а если Покупателем является предприятие Республики Татарстан - первый рабочий вторник, по истечении  календарных дней, исчисляемых начиная со дня, следующего за датой поставки Товара.</v>
      </c>
      <c r="M7" s="213"/>
      <c r="N7" s="261" t="s">
        <v>365</v>
      </c>
      <c r="O7" s="257" t="str">
        <f>CONCATENATE("Оплата Товара производится Покупателем в порядке предварительной оплаты в размере ",TEXT('Форма ввода'!$C$46,"0%")," стоимости Товара не позднее ",'Форма ввода'!$C$42," календарных дней, исчисляемых начиная со дня, следующего за датой заключения настоящего Дополнительного соглашения.
",
"Оплата Товара в размере ",TEXT('Форма ввода'!$C$47,"0%")," стоимости Товара производится Покупателем не позднее ",'Форма ввода'!$C$43," календарных дней, исчисляемых начиная со дня, следующего за датой поставки Товара."&amp;" Авансовый платеж зачитывается в счет оплаты поставленного Товара в сумме, подлежащей оплате Поставщику." &amp;" Зачет аванса производится, начиная с первого первичного документа, и по каждому следующему. " &amp;"Если аванс меньше или равен сумме поставленного Товара, то аванс зачитывается в полном размере. " &amp;"Если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 &amp;"оплата производится за вычетом зачтенного аванса/части аванса. Если Стороны договорятся о выплате нескольких авансовых платежей," &amp;"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0% стоимости Товара не позднее  календарных дней, исчисляемых начиная со дня, следующего за датой заключения настоящего Дополнительного соглашения.
Оплата Товара в размере 100% стоимости Товара производится Покупателем не позднее  календарных дней, исчисляемых начиная со дня, следующего за датой поставки Товара.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P7" s="11"/>
      <c r="Q7" s="219" t="s">
        <v>389</v>
      </c>
      <c r="R7" s="176" t="s">
        <v>390</v>
      </c>
      <c r="S7" s="226" t="s">
        <v>391</v>
      </c>
      <c r="T7" s="227" t="s">
        <v>392</v>
      </c>
      <c r="U7" s="208" t="s">
        <v>393</v>
      </c>
      <c r="V7" s="213"/>
      <c r="W7" s="176" t="s">
        <v>394</v>
      </c>
      <c r="X7" s="176" t="s">
        <v>395</v>
      </c>
      <c r="Y7" s="311">
        <v>0.05</v>
      </c>
      <c r="Z7" s="311">
        <v>0.15</v>
      </c>
    </row>
    <row r="8" spans="1:26" ht="234.95" customHeight="1">
      <c r="A8" s="265" t="s">
        <v>396</v>
      </c>
      <c r="B8" s="265" t="s">
        <v>396</v>
      </c>
      <c r="C8" s="265" t="s">
        <v>397</v>
      </c>
      <c r="D8" s="263">
        <v>7</v>
      </c>
      <c r="E8" s="263" t="s">
        <v>398</v>
      </c>
      <c r="F8" s="264" t="s">
        <v>254</v>
      </c>
      <c r="G8" s="262" t="s">
        <v>399</v>
      </c>
      <c r="H8" s="261" t="str">
        <f>CONCATENATE(TEXT(DAY('Форма ввода'!C26),"00")&amp;" "&amp;VLOOKUP(MONTH('Форма ввода'!C26),Справочник!$D$2:$E$13,2,0)&amp;" "&amp;YEAR('Форма ввода'!C26)&amp;" г., при условии подписания настоящего Дополнительного соглашения обеими сторонами до ",TEXT(DAY('Форма ввода'!C28),"00")&amp;" "&amp;VLOOKUP(MONTH('Форма ввода'!C28),Справочник!$D$2:$E$13,2,0)&amp;" "&amp;YEAR('Форма ввода'!C28)&amp;" г., в случае подписания настоящего Дополнительного соглашения последней из сторон позднее ",TEXT(DAY('Форма ввода'!C28),"00")&amp;" "&amp;VLOOKUP(MONTH('Форма ввода'!C28),Справочник!$D$2:$E$13,2,0)&amp;" "&amp;YEAR('Форма ввода'!C28)&amp;" г., срок поставки Товара увеличивается на количество календарных дней соответствующее количеству календарных дней задержки подписания настоящего Дополнительного соглашения последней из сторон.")</f>
        <v>00 января 1900 г., при условии подписания настоящего Дополнительного соглашения обеими сторонами до 00 января 1900 г., в случае подписания настоящего Дополнительного соглашения последней из сторон позднее 00 января 1900 г., срок поставки Товара увеличивается на количество календарных дней соответствующее количеству календарных дней задержки подписания настоящего Дополнительного соглашения последней из сторон.</v>
      </c>
      <c r="I8" s="12"/>
      <c r="K8" s="213" t="s">
        <v>335</v>
      </c>
      <c r="L8" s="213" t="str">
        <f>CONCATENATE("Оплата Товара производится Покупателем в порядке предварительной оплаты в размере 100%"," стоимости Товара в первый рабочий четверг, а если Покупателем является предприятие Республики Татарстан - первый рабочий вторник, по истечении ",'Форма ввода (консолид.ДС)'!$C$35," календарных дней, исчисляемых начиная со дня, следующего за датой заключения настоящего Дополнительного соглашения."&amp;" Авансовый платеж зачитывается в счет оплаты поставленного Товара в сумме, подлежащей оплате Поставщику." &amp;" Зачет аванса производится, начиная с первого первичного документа, и по каждому следующему. " &amp;"Если аванс меньше или равен сумме поставленного Товара, то аванс зачитывается в полном размере. " &amp;"Если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 &amp;"оплата производится за вычетом зачтенного аванса/части аванса. Если Стороны договорятся о выплате нескольких авансовых платежей," &amp;"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100% стоимости Товара в первый рабочий четверг, а если Покупателем является предприятие Республики Татарстан - первый рабочий вторник, по истечении  календарных дней, исчисляемых начиная со дня, следующего за датой заключения настоящего Дополнительного соглашения.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N8" s="261"/>
      <c r="O8" s="258"/>
      <c r="P8" s="11"/>
      <c r="Q8" s="220" t="s">
        <v>103</v>
      </c>
      <c r="R8" s="176" t="s">
        <v>400</v>
      </c>
      <c r="S8" s="226" t="s">
        <v>401</v>
      </c>
      <c r="T8"/>
      <c r="U8"/>
      <c r="V8" s="213"/>
      <c r="W8" s="176" t="s">
        <v>402</v>
      </c>
      <c r="X8" s="176" t="s">
        <v>403</v>
      </c>
      <c r="Y8" s="311">
        <v>0.04</v>
      </c>
      <c r="Z8" s="311">
        <v>0.14000000000000001</v>
      </c>
    </row>
    <row r="9" spans="1:26" ht="282.2" customHeight="1">
      <c r="A9" s="265" t="s">
        <v>404</v>
      </c>
      <c r="B9" s="265" t="s">
        <v>404</v>
      </c>
      <c r="C9" s="265" t="s">
        <v>405</v>
      </c>
      <c r="D9" s="263">
        <v>8</v>
      </c>
      <c r="E9" s="263" t="s">
        <v>406</v>
      </c>
      <c r="F9" s="266"/>
      <c r="G9" s="262" t="s">
        <v>407</v>
      </c>
      <c r="H9" s="213" t="s">
        <v>408</v>
      </c>
      <c r="I9" s="12"/>
      <c r="K9" s="261" t="s">
        <v>364</v>
      </c>
      <c r="L9" s="213" t="str">
        <f>CONCATENATE("Оплата Товара производится Покупателем в порядке предварительной оплаты  в размере ",TEXT('Форма ввода (консолид.ДС)'!$C$37,"0%")," стоимости Товара в первый рабочий четверг, а если Покупателем, является предприятие Республики Татарстан - первый рабочий вторник, по истечении ",'Форма ввода (консолид.ДС)'!$C$35," календарных дней, исчисляемых начиная со дня,  следующего за датой заключения настоящего Дополнительного соглашения."," Оплата Товара в размере ",TEXT('Форма ввода (консолид.ДС)'!$C$38,"0%")," стоимости Товара производится  в первый рабочий четверг, а если Покупателем является предприятие Республики Татарстан - первый рабочий вторник, по истечении ", 'Форма ввода (консолид.ДС)'!$C$36, " календарных дней, исчисляемых начиная со дня, следующего за датой поставки Товара."&amp;" Авансовый платеж зачитывается в счет оплаты поставленного Товара в сумме, подлежащей оплате Поставщику." &amp;" Зачет аванса производится, начиная с первого первичного документа, и по каждому следующему. " &amp;"Если аванс меньше или равен сумме поставленного Товара, то аванс зачитывается в полном размере. " &amp;"Если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 &amp;"оплата производится за вычетом зачтенного аванса/части аванса. Если Стороны договорятся о выплате нескольких авансовых платежей," &amp;"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f>
        <v>Оплата Товара производится Покупателем в порядке предварительной оплаты  в размере 0% стоимости Товара в первый рабочий четверг, а если Покупателем, является предприятие Республики Татарстан - первый рабочий вторник, по истечении  календарных дней, исчисляемых начиная со дня,  следующего за датой заключения настоящего Дополнительного соглашения. Оплата Товара в размере 100% стоимости Товара производится  в первый рабочий четверг, а если Покупателем является предприятие Республики Татарстан - первый рабочий вторник, по истечении  календарных дней, исчисляемых начиная со дня, следующего за датой поставки Товара. Авансовый платеж зачитывается в счет оплаты поставленного Товара в сумме, подлежащей оплате Поставщику. Зачет аванса производится, начиная с первого первичного документа, и по каждому следующему. Если аванс меньше или равен сумме поставленного Товара, то аванс зачитывается в полном размере. Если аванс превышает сумму поставленного Товара, то аванс зачитывается в полной стоимости Товара до полного зачета аванса. При перечислении денежных средств за поставленный Товар, оплата производится за вычетом зачтенного аванса/части аванса. Если Стороны договорятся о выплате нескольких авансовых платежей, то их зачет осуществляется методом ФИФО: последовательно в хронологическом порядке, начиная с авансов, перечисленных ранее, к авансам, перечисленным позднее.</v>
      </c>
      <c r="N9" s="261" t="s">
        <v>365</v>
      </c>
      <c r="P9" s="11"/>
      <c r="Q9" s="220" t="str">
        <f>CONCATENATE("Дата передачи Товара транспортной компании на складе (терминале) транспортной компании по адресу:
",'Форма ввода (консолид.ДС)'!C30,".")</f>
        <v>Дата передачи Товара транспортной компании на складе (терминале) транспортной компании по адресу:
.</v>
      </c>
      <c r="R9" s="176" t="s">
        <v>409</v>
      </c>
      <c r="S9" s="226" t="s">
        <v>410</v>
      </c>
      <c r="T9"/>
      <c r="U9"/>
      <c r="V9" s="213"/>
      <c r="W9" s="176" t="s">
        <v>411</v>
      </c>
      <c r="X9" s="176" t="s">
        <v>412</v>
      </c>
      <c r="Y9" s="311">
        <v>0.03</v>
      </c>
      <c r="Z9" s="311">
        <v>0.13</v>
      </c>
    </row>
    <row r="10" spans="1:26" ht="104.25" customHeight="1">
      <c r="A10" s="265" t="s">
        <v>413</v>
      </c>
      <c r="B10" s="265" t="s">
        <v>413</v>
      </c>
      <c r="C10" s="265" t="s">
        <v>414</v>
      </c>
      <c r="D10" s="263">
        <v>9</v>
      </c>
      <c r="E10" s="263" t="s">
        <v>415</v>
      </c>
      <c r="F10" s="267"/>
      <c r="G10" s="262" t="s">
        <v>416</v>
      </c>
      <c r="I10" s="12"/>
      <c r="P10" s="12"/>
      <c r="R10" s="176" t="s">
        <v>417</v>
      </c>
      <c r="S10" s="226" t="s">
        <v>418</v>
      </c>
      <c r="T10"/>
      <c r="U10"/>
      <c r="V10" s="215"/>
      <c r="W10" s="12"/>
      <c r="X10" s="12"/>
      <c r="Y10" s="311">
        <v>0.02</v>
      </c>
      <c r="Z10" s="311">
        <v>0.12</v>
      </c>
    </row>
    <row r="11" spans="1:26" ht="34.5">
      <c r="A11" s="265" t="s">
        <v>419</v>
      </c>
      <c r="B11" s="265" t="s">
        <v>419</v>
      </c>
      <c r="C11" s="265" t="s">
        <v>420</v>
      </c>
      <c r="D11" s="263">
        <v>10</v>
      </c>
      <c r="E11" s="263" t="s">
        <v>421</v>
      </c>
      <c r="F11" s="267"/>
      <c r="G11" s="262" t="s">
        <v>422</v>
      </c>
      <c r="I11" s="12"/>
      <c r="P11" s="12"/>
      <c r="Q11" s="12"/>
      <c r="R11" s="176" t="s">
        <v>423</v>
      </c>
      <c r="S11" s="208" t="s">
        <v>424</v>
      </c>
      <c r="T11"/>
      <c r="U11"/>
      <c r="V11" s="213"/>
      <c r="W11" s="12"/>
      <c r="X11" s="12"/>
      <c r="Y11" s="311">
        <v>0.01</v>
      </c>
      <c r="Z11" s="311">
        <v>0.11</v>
      </c>
    </row>
    <row r="12" spans="1:26" ht="92.1">
      <c r="A12" s="265" t="s">
        <v>425</v>
      </c>
      <c r="B12" s="265" t="s">
        <v>425</v>
      </c>
      <c r="C12" s="265" t="s">
        <v>426</v>
      </c>
      <c r="D12" s="263">
        <v>11</v>
      </c>
      <c r="E12" s="263" t="s">
        <v>427</v>
      </c>
      <c r="F12" s="267"/>
      <c r="G12" s="262" t="s">
        <v>428</v>
      </c>
      <c r="I12" s="13"/>
      <c r="P12" s="12"/>
      <c r="Q12" s="13"/>
      <c r="R12" s="176" t="s">
        <v>429</v>
      </c>
      <c r="S12" s="208" t="s">
        <v>430</v>
      </c>
      <c r="T12"/>
      <c r="U12"/>
      <c r="V12" s="216"/>
      <c r="W12" s="11"/>
      <c r="X12" s="11"/>
      <c r="Z12" s="311">
        <v>0.1</v>
      </c>
    </row>
    <row r="13" spans="1:26" ht="16.5" customHeight="1">
      <c r="A13" s="265" t="s">
        <v>431</v>
      </c>
      <c r="B13" s="265" t="s">
        <v>431</v>
      </c>
      <c r="C13" s="265" t="s">
        <v>432</v>
      </c>
      <c r="D13" s="263">
        <v>12</v>
      </c>
      <c r="E13" s="263" t="s">
        <v>433</v>
      </c>
      <c r="F13" s="267"/>
      <c r="G13" s="262" t="s">
        <v>434</v>
      </c>
      <c r="I13" s="12"/>
      <c r="P13" s="12"/>
      <c r="Q13" s="12"/>
      <c r="R13" s="176" t="s">
        <v>435</v>
      </c>
      <c r="S13" s="226" t="s">
        <v>436</v>
      </c>
      <c r="T13"/>
      <c r="U13"/>
      <c r="V13" s="213"/>
    </row>
    <row r="14" spans="1:26" ht="16.5" customHeight="1">
      <c r="A14" s="265" t="s">
        <v>437</v>
      </c>
      <c r="B14" s="265" t="s">
        <v>437</v>
      </c>
      <c r="C14" s="265" t="s">
        <v>438</v>
      </c>
      <c r="D14" s="267"/>
      <c r="E14" s="267"/>
      <c r="F14" s="267"/>
      <c r="G14" s="262"/>
      <c r="P14" s="12"/>
      <c r="R14" s="176" t="s">
        <v>439</v>
      </c>
      <c r="S14" s="226" t="s">
        <v>440</v>
      </c>
      <c r="T14"/>
      <c r="U14"/>
      <c r="V14" s="216"/>
    </row>
    <row r="15" spans="1:26" ht="16.5" customHeight="1">
      <c r="A15" s="265" t="s">
        <v>441</v>
      </c>
      <c r="B15" s="265" t="s">
        <v>441</v>
      </c>
      <c r="C15" s="265" t="s">
        <v>442</v>
      </c>
      <c r="D15" s="267"/>
      <c r="E15" s="267"/>
      <c r="F15" s="267"/>
      <c r="G15" s="262" t="s">
        <v>443</v>
      </c>
      <c r="R15" s="176" t="s">
        <v>444</v>
      </c>
      <c r="S15" s="226" t="s">
        <v>445</v>
      </c>
      <c r="T15"/>
      <c r="U15"/>
      <c r="V15" s="213"/>
    </row>
    <row r="16" spans="1:26" ht="16.5" customHeight="1">
      <c r="A16" s="268" t="s">
        <v>446</v>
      </c>
      <c r="B16" s="268" t="s">
        <v>446</v>
      </c>
      <c r="C16" s="268" t="s">
        <v>447</v>
      </c>
      <c r="D16" s="267"/>
      <c r="E16" s="267"/>
      <c r="F16" s="267"/>
      <c r="G16" s="262"/>
      <c r="R16" s="176" t="s">
        <v>448</v>
      </c>
      <c r="S16" s="226" t="s">
        <v>449</v>
      </c>
      <c r="T16"/>
      <c r="U16"/>
      <c r="V16" s="213"/>
    </row>
    <row r="17" spans="1:22" ht="16.5" customHeight="1">
      <c r="A17" s="265" t="s">
        <v>450</v>
      </c>
      <c r="B17" s="265" t="s">
        <v>450</v>
      </c>
      <c r="C17" s="265" t="s">
        <v>451</v>
      </c>
      <c r="D17" s="267"/>
      <c r="E17" s="267"/>
      <c r="F17" s="267"/>
      <c r="G17" s="262"/>
      <c r="O17" s="15"/>
      <c r="R17" s="176" t="s">
        <v>452</v>
      </c>
      <c r="S17" s="226" t="s">
        <v>453</v>
      </c>
      <c r="T17"/>
      <c r="U17"/>
      <c r="V17" s="216"/>
    </row>
    <row r="18" spans="1:22" ht="16.5" customHeight="1">
      <c r="A18" s="269" t="s">
        <v>454</v>
      </c>
      <c r="B18" s="269" t="s">
        <v>454</v>
      </c>
      <c r="C18" s="269" t="s">
        <v>455</v>
      </c>
      <c r="D18" s="267"/>
      <c r="E18" s="267"/>
      <c r="F18" s="267"/>
      <c r="G18" s="262" t="s">
        <v>456</v>
      </c>
      <c r="N18" s="15"/>
      <c r="O18" s="16"/>
      <c r="R18" s="176" t="s">
        <v>457</v>
      </c>
      <c r="S18" s="226" t="s">
        <v>458</v>
      </c>
      <c r="T18"/>
      <c r="U18"/>
      <c r="V18" s="216"/>
    </row>
    <row r="19" spans="1:22" ht="16.5" customHeight="1">
      <c r="A19" s="265" t="s">
        <v>459</v>
      </c>
      <c r="B19" s="265" t="s">
        <v>459</v>
      </c>
      <c r="C19" s="265" t="s">
        <v>460</v>
      </c>
      <c r="D19" s="267"/>
      <c r="E19" s="267"/>
      <c r="F19" s="270"/>
      <c r="G19" s="262"/>
      <c r="L19" s="15"/>
      <c r="N19" s="16"/>
      <c r="O19" s="15"/>
      <c r="R19" s="176" t="s">
        <v>461</v>
      </c>
      <c r="S19" s="226" t="s">
        <v>462</v>
      </c>
      <c r="T19"/>
      <c r="U19"/>
      <c r="V19" s="216"/>
    </row>
    <row r="20" spans="1:22" ht="16.5" customHeight="1">
      <c r="A20" s="265" t="s">
        <v>463</v>
      </c>
      <c r="B20" s="265" t="s">
        <v>463</v>
      </c>
      <c r="C20" s="265" t="s">
        <v>464</v>
      </c>
      <c r="D20" s="267"/>
      <c r="E20" s="267"/>
      <c r="F20" s="270"/>
      <c r="G20" s="262" t="s">
        <v>465</v>
      </c>
      <c r="L20" s="16"/>
      <c r="N20" s="15"/>
      <c r="O20" s="17"/>
      <c r="R20" s="176" t="s">
        <v>466</v>
      </c>
      <c r="S20" s="226" t="s">
        <v>467</v>
      </c>
      <c r="T20"/>
      <c r="U20"/>
      <c r="V20" s="216"/>
    </row>
    <row r="21" spans="1:22" ht="16.5" customHeight="1">
      <c r="A21" s="265" t="s">
        <v>468</v>
      </c>
      <c r="B21" s="265" t="s">
        <v>468</v>
      </c>
      <c r="C21" s="265" t="s">
        <v>469</v>
      </c>
      <c r="D21" s="267"/>
      <c r="E21" s="267"/>
      <c r="F21" s="270"/>
      <c r="G21" s="262" t="s">
        <v>470</v>
      </c>
      <c r="L21" s="15"/>
      <c r="M21" s="15"/>
      <c r="N21" s="17"/>
      <c r="R21" s="176" t="s">
        <v>471</v>
      </c>
      <c r="S21" s="9"/>
      <c r="T21" s="214"/>
      <c r="U21" s="214"/>
      <c r="V21" s="214"/>
    </row>
    <row r="22" spans="1:22" ht="16.5" customHeight="1">
      <c r="A22" s="265" t="s">
        <v>472</v>
      </c>
      <c r="B22" s="265" t="s">
        <v>472</v>
      </c>
      <c r="C22" s="265" t="s">
        <v>473</v>
      </c>
      <c r="D22" s="267"/>
      <c r="E22" s="267"/>
      <c r="F22" s="270"/>
      <c r="G22" s="262" t="s">
        <v>474</v>
      </c>
      <c r="L22" s="17"/>
      <c r="M22" s="16"/>
      <c r="R22" s="176" t="s">
        <v>475</v>
      </c>
      <c r="S22" s="9"/>
      <c r="T22" s="214"/>
      <c r="U22" s="214"/>
      <c r="V22" s="214"/>
    </row>
    <row r="23" spans="1:22" ht="16.5" customHeight="1">
      <c r="A23" s="265" t="s">
        <v>476</v>
      </c>
      <c r="B23" s="265" t="s">
        <v>476</v>
      </c>
      <c r="C23" s="265" t="s">
        <v>477</v>
      </c>
      <c r="D23" s="267"/>
      <c r="E23" s="12"/>
      <c r="F23" s="12"/>
      <c r="G23" s="262"/>
      <c r="K23" s="15"/>
      <c r="M23" s="15"/>
      <c r="R23" s="176" t="s">
        <v>478</v>
      </c>
      <c r="S23" s="9"/>
      <c r="T23" s="214"/>
      <c r="U23" s="214"/>
      <c r="V23" s="214"/>
    </row>
    <row r="24" spans="1:22" ht="16.5" customHeight="1">
      <c r="A24" s="265" t="s">
        <v>479</v>
      </c>
      <c r="B24" s="265" t="s">
        <v>479</v>
      </c>
      <c r="C24" s="265" t="s">
        <v>480</v>
      </c>
      <c r="D24" s="267"/>
      <c r="E24" s="13"/>
      <c r="F24" s="13"/>
      <c r="G24" s="262" t="s">
        <v>481</v>
      </c>
      <c r="K24" s="15"/>
      <c r="M24" s="17"/>
      <c r="R24" s="176" t="s">
        <v>482</v>
      </c>
      <c r="S24" s="9"/>
      <c r="T24" s="214"/>
      <c r="U24" s="214"/>
      <c r="V24" s="214"/>
    </row>
    <row r="25" spans="1:22" ht="16.5" customHeight="1">
      <c r="A25" s="265" t="s">
        <v>483</v>
      </c>
      <c r="B25" s="265" t="s">
        <v>483</v>
      </c>
      <c r="C25" s="265" t="s">
        <v>484</v>
      </c>
      <c r="D25" s="267"/>
      <c r="E25" s="12"/>
      <c r="F25" s="12"/>
      <c r="G25" s="262"/>
      <c r="I25" s="15"/>
      <c r="K25" s="16"/>
      <c r="Q25" s="15"/>
      <c r="R25" s="176" t="s">
        <v>485</v>
      </c>
      <c r="S25" s="9"/>
      <c r="T25" s="214"/>
      <c r="U25" s="214"/>
      <c r="V25" s="214"/>
    </row>
    <row r="26" spans="1:22" ht="16.5" customHeight="1">
      <c r="A26" s="271" t="s">
        <v>486</v>
      </c>
      <c r="B26" s="271" t="s">
        <v>486</v>
      </c>
      <c r="C26" s="271" t="s">
        <v>487</v>
      </c>
      <c r="D26" s="267"/>
      <c r="E26" s="267"/>
      <c r="F26" s="270"/>
      <c r="G26" s="262"/>
      <c r="I26" s="16"/>
      <c r="J26" s="15"/>
      <c r="K26" s="15"/>
      <c r="Q26" s="16"/>
      <c r="R26" s="176" t="s">
        <v>488</v>
      </c>
      <c r="S26" s="15"/>
      <c r="T26" s="214"/>
      <c r="U26" s="214"/>
      <c r="V26" s="214"/>
    </row>
    <row r="27" spans="1:22" ht="16.5" customHeight="1">
      <c r="A27" s="265" t="s">
        <v>489</v>
      </c>
      <c r="B27" s="265" t="s">
        <v>489</v>
      </c>
      <c r="C27" s="265" t="s">
        <v>490</v>
      </c>
      <c r="D27" s="267"/>
      <c r="E27" s="267"/>
      <c r="F27" s="270"/>
      <c r="G27" s="262" t="s">
        <v>491</v>
      </c>
      <c r="I27" s="15"/>
      <c r="J27" s="16"/>
      <c r="P27" s="15"/>
      <c r="Q27" s="15"/>
      <c r="R27" s="176" t="s">
        <v>492</v>
      </c>
      <c r="S27" s="16"/>
      <c r="T27" s="217"/>
      <c r="U27" s="217"/>
      <c r="V27" s="217"/>
    </row>
    <row r="28" spans="1:22" ht="16.5" customHeight="1">
      <c r="A28" s="265" t="s">
        <v>493</v>
      </c>
      <c r="B28" s="265" t="s">
        <v>493</v>
      </c>
      <c r="C28" s="265" t="s">
        <v>494</v>
      </c>
      <c r="D28" s="267"/>
      <c r="E28" s="267"/>
      <c r="F28" s="270"/>
      <c r="G28" s="262" t="s">
        <v>495</v>
      </c>
      <c r="J28" s="15"/>
      <c r="P28" s="16"/>
      <c r="Q28" s="17"/>
      <c r="R28" s="176" t="s">
        <v>496</v>
      </c>
      <c r="S28" s="15"/>
      <c r="T28" s="218"/>
      <c r="U28" s="218"/>
      <c r="V28" s="218"/>
    </row>
    <row r="29" spans="1:22" ht="16.5" customHeight="1">
      <c r="A29" s="265" t="s">
        <v>497</v>
      </c>
      <c r="B29" s="265" t="s">
        <v>497</v>
      </c>
      <c r="C29" s="265" t="s">
        <v>498</v>
      </c>
      <c r="D29" s="267"/>
      <c r="E29" s="267"/>
      <c r="F29" s="270"/>
      <c r="G29" s="262"/>
      <c r="P29" s="15"/>
      <c r="Q29" s="17"/>
      <c r="R29" s="176" t="s">
        <v>499</v>
      </c>
      <c r="S29" s="9"/>
      <c r="T29" s="217"/>
      <c r="U29" s="217"/>
      <c r="V29" s="217"/>
    </row>
    <row r="30" spans="1:22" ht="16.5" customHeight="1">
      <c r="A30" s="265" t="s">
        <v>500</v>
      </c>
      <c r="B30" s="265" t="s">
        <v>500</v>
      </c>
      <c r="C30" s="265" t="s">
        <v>501</v>
      </c>
      <c r="D30" s="267"/>
      <c r="E30" s="267"/>
      <c r="F30" s="270"/>
      <c r="G30" s="280" t="s">
        <v>502</v>
      </c>
      <c r="P30" s="17"/>
      <c r="Q30" s="17"/>
      <c r="R30" s="176" t="s">
        <v>503</v>
      </c>
      <c r="S30" s="9"/>
      <c r="T30" s="214"/>
      <c r="U30" s="214"/>
      <c r="V30" s="214"/>
    </row>
    <row r="31" spans="1:22" ht="16.5" customHeight="1">
      <c r="A31" s="302" t="s">
        <v>504</v>
      </c>
      <c r="B31" s="302" t="s">
        <v>504</v>
      </c>
      <c r="C31" s="302" t="s">
        <v>505</v>
      </c>
      <c r="D31" s="273"/>
      <c r="E31" s="273"/>
      <c r="F31" s="273"/>
      <c r="G31" s="262" t="s">
        <v>506</v>
      </c>
      <c r="P31" s="17"/>
      <c r="R31" s="176" t="s">
        <v>507</v>
      </c>
      <c r="S31" s="9"/>
      <c r="T31" s="214"/>
      <c r="U31" s="214"/>
      <c r="V31" s="214"/>
    </row>
    <row r="32" spans="1:22" ht="16.5" customHeight="1">
      <c r="A32" t="s">
        <v>508</v>
      </c>
      <c r="B32" t="s">
        <v>508</v>
      </c>
      <c r="C32" t="s">
        <v>509</v>
      </c>
      <c r="D32" s="273"/>
      <c r="E32" s="273"/>
      <c r="F32" s="273"/>
      <c r="G32" s="274" t="s">
        <v>510</v>
      </c>
      <c r="R32" s="176" t="s">
        <v>511</v>
      </c>
      <c r="S32" s="9"/>
      <c r="T32" s="214"/>
      <c r="U32" s="214"/>
      <c r="V32" s="214"/>
    </row>
    <row r="33" spans="1:22" ht="16.5" customHeight="1">
      <c r="A33" t="s">
        <v>512</v>
      </c>
      <c r="B33" t="s">
        <v>512</v>
      </c>
      <c r="C33" t="s">
        <v>513</v>
      </c>
      <c r="D33" s="273"/>
      <c r="E33" s="273"/>
      <c r="F33" s="273"/>
      <c r="G33" s="274" t="s">
        <v>514</v>
      </c>
      <c r="R33" s="176" t="s">
        <v>515</v>
      </c>
      <c r="S33" s="9"/>
      <c r="T33" s="214"/>
      <c r="U33" s="214"/>
      <c r="V33" s="214"/>
    </row>
    <row r="34" spans="1:22" ht="18" customHeight="1">
      <c r="A34" t="s">
        <v>516</v>
      </c>
      <c r="B34" t="s">
        <v>516</v>
      </c>
      <c r="C34" t="s">
        <v>517</v>
      </c>
      <c r="D34" s="273"/>
      <c r="E34" s="273"/>
      <c r="F34" s="273"/>
      <c r="G34" s="274" t="s">
        <v>518</v>
      </c>
      <c r="O34" s="9"/>
      <c r="R34" s="176" t="s">
        <v>519</v>
      </c>
      <c r="S34" s="9"/>
      <c r="T34" s="214"/>
      <c r="U34" s="214"/>
      <c r="V34" s="214"/>
    </row>
    <row r="35" spans="1:22" ht="16.5" customHeight="1">
      <c r="A35" t="s">
        <v>520</v>
      </c>
      <c r="B35" t="s">
        <v>520</v>
      </c>
      <c r="C35" t="s">
        <v>521</v>
      </c>
      <c r="D35" s="273"/>
      <c r="E35" s="273"/>
      <c r="F35" s="273"/>
      <c r="G35" s="274" t="s">
        <v>522</v>
      </c>
      <c r="N35" s="9"/>
      <c r="O35" s="18"/>
      <c r="R35" s="176" t="s">
        <v>523</v>
      </c>
      <c r="S35" s="9"/>
      <c r="T35" s="214"/>
      <c r="U35" s="214"/>
      <c r="V35" s="214"/>
    </row>
    <row r="36" spans="1:22" ht="16.5" customHeight="1">
      <c r="A36" t="s">
        <v>524</v>
      </c>
      <c r="B36" t="s">
        <v>524</v>
      </c>
      <c r="C36" t="s">
        <v>525</v>
      </c>
      <c r="D36" s="273"/>
      <c r="E36" s="273"/>
      <c r="F36" s="273"/>
      <c r="G36" s="274" t="s">
        <v>526</v>
      </c>
      <c r="L36" s="9"/>
      <c r="N36" s="18"/>
      <c r="O36" s="18"/>
      <c r="R36" s="176" t="s">
        <v>527</v>
      </c>
      <c r="S36" s="9"/>
      <c r="T36" s="214"/>
      <c r="U36" s="214"/>
      <c r="V36" s="214"/>
    </row>
    <row r="37" spans="1:22" ht="16.5" customHeight="1">
      <c r="A37" t="s">
        <v>528</v>
      </c>
      <c r="B37" t="s">
        <v>528</v>
      </c>
      <c r="C37" t="s">
        <v>529</v>
      </c>
      <c r="D37" s="273"/>
      <c r="E37" s="273"/>
      <c r="F37" s="273"/>
      <c r="G37" s="274" t="s">
        <v>530</v>
      </c>
      <c r="L37" s="18"/>
      <c r="N37" s="18"/>
      <c r="O37" s="18"/>
      <c r="R37" s="176" t="s">
        <v>531</v>
      </c>
      <c r="S37" s="9"/>
      <c r="T37" s="214"/>
      <c r="U37" s="214"/>
      <c r="V37" s="214"/>
    </row>
    <row r="38" spans="1:22" ht="16.5" customHeight="1">
      <c r="A38" t="s">
        <v>532</v>
      </c>
      <c r="B38" t="s">
        <v>533</v>
      </c>
      <c r="C38" t="s">
        <v>534</v>
      </c>
      <c r="D38" s="275"/>
      <c r="E38" s="275"/>
      <c r="F38" s="273"/>
      <c r="G38" s="274" t="s">
        <v>535</v>
      </c>
      <c r="L38" s="18"/>
      <c r="M38" s="9"/>
      <c r="N38" s="18"/>
      <c r="O38" s="9"/>
      <c r="R38" s="176" t="s">
        <v>536</v>
      </c>
      <c r="S38" s="9"/>
      <c r="T38" s="214"/>
      <c r="U38" s="214"/>
      <c r="V38" s="214"/>
    </row>
    <row r="39" spans="1:22" ht="16.5" customHeight="1">
      <c r="D39" s="276"/>
      <c r="E39" s="276"/>
      <c r="F39" s="273"/>
      <c r="G39" s="274"/>
      <c r="L39" s="18"/>
      <c r="M39" s="18"/>
      <c r="N39" s="9"/>
      <c r="O39" s="18"/>
      <c r="R39" s="176" t="s">
        <v>537</v>
      </c>
      <c r="S39" s="9"/>
      <c r="T39" s="214"/>
      <c r="U39" s="214"/>
      <c r="V39" s="214"/>
    </row>
    <row r="40" spans="1:22" ht="16.5" customHeight="1">
      <c r="A40" s="272" t="s">
        <v>538</v>
      </c>
      <c r="B40" s="272" t="s">
        <v>538</v>
      </c>
      <c r="C40" s="272" t="s">
        <v>539</v>
      </c>
      <c r="D40" s="276"/>
      <c r="E40" s="276"/>
      <c r="F40" s="273"/>
      <c r="G40" s="274"/>
      <c r="L40" s="9"/>
      <c r="M40" s="18"/>
      <c r="N40" s="18"/>
      <c r="O40" s="18"/>
      <c r="R40" s="176" t="s">
        <v>540</v>
      </c>
      <c r="S40" s="9"/>
      <c r="T40" s="214"/>
      <c r="U40" s="214"/>
      <c r="V40" s="214"/>
    </row>
    <row r="41" spans="1:22" ht="16.5" customHeight="1">
      <c r="A41" s="272" t="s">
        <v>541</v>
      </c>
      <c r="B41" s="272" t="s">
        <v>542</v>
      </c>
      <c r="C41" s="272" t="s">
        <v>543</v>
      </c>
      <c r="D41" s="276"/>
      <c r="E41" s="276"/>
      <c r="F41" s="273"/>
      <c r="G41" s="274" t="s">
        <v>544</v>
      </c>
      <c r="L41" s="18"/>
      <c r="M41" s="18"/>
      <c r="N41" s="18"/>
      <c r="O41" s="18"/>
      <c r="R41" s="176" t="s">
        <v>545</v>
      </c>
      <c r="S41" s="9"/>
      <c r="T41" s="214"/>
      <c r="U41" s="214"/>
      <c r="V41" s="214"/>
    </row>
    <row r="42" spans="1:22" ht="16.5" customHeight="1">
      <c r="A42" s="272" t="s">
        <v>546</v>
      </c>
      <c r="B42" s="272" t="s">
        <v>547</v>
      </c>
      <c r="C42" s="272"/>
      <c r="D42" s="275"/>
      <c r="E42" s="275"/>
      <c r="F42" s="273"/>
      <c r="G42" s="274" t="s">
        <v>548</v>
      </c>
      <c r="L42" s="18"/>
      <c r="M42" s="9"/>
      <c r="N42" s="18"/>
      <c r="O42" s="9"/>
      <c r="R42" s="176" t="s">
        <v>549</v>
      </c>
      <c r="S42" s="9"/>
      <c r="T42" s="214"/>
      <c r="U42" s="214"/>
      <c r="V42" s="214"/>
    </row>
    <row r="43" spans="1:22" ht="16.5" customHeight="1">
      <c r="A43" s="272" t="s">
        <v>550</v>
      </c>
      <c r="B43" s="272" t="s">
        <v>551</v>
      </c>
      <c r="C43" s="272"/>
      <c r="D43" s="276"/>
      <c r="E43" s="276"/>
      <c r="F43" s="273"/>
      <c r="G43" s="274" t="s">
        <v>552</v>
      </c>
      <c r="L43" s="18"/>
      <c r="M43" s="18"/>
      <c r="N43" s="9"/>
      <c r="Q43" s="18"/>
      <c r="R43" s="176" t="s">
        <v>553</v>
      </c>
      <c r="S43" s="9"/>
      <c r="T43" s="214"/>
      <c r="U43" s="214"/>
      <c r="V43" s="214"/>
    </row>
    <row r="44" spans="1:22" ht="16.5" customHeight="1">
      <c r="A44" s="272" t="s">
        <v>554</v>
      </c>
      <c r="B44" s="272" t="s">
        <v>555</v>
      </c>
      <c r="C44" s="272"/>
      <c r="D44" s="275"/>
      <c r="E44" s="275"/>
      <c r="F44" s="273"/>
      <c r="G44" s="274" t="s">
        <v>556</v>
      </c>
      <c r="M44" s="9"/>
      <c r="N44" s="18"/>
      <c r="O44" s="9"/>
      <c r="Q44" s="18"/>
      <c r="R44" s="176" t="s">
        <v>557</v>
      </c>
      <c r="S44" s="9"/>
      <c r="T44" s="214"/>
      <c r="U44" s="214"/>
      <c r="V44" s="214"/>
    </row>
    <row r="45" spans="1:22" ht="16.5" customHeight="1">
      <c r="A45" s="272" t="s">
        <v>558</v>
      </c>
      <c r="B45" s="272" t="s">
        <v>558</v>
      </c>
      <c r="C45" s="272" t="s">
        <v>559</v>
      </c>
      <c r="D45" s="273"/>
      <c r="E45" s="273"/>
      <c r="F45" s="273"/>
      <c r="G45" s="274"/>
      <c r="L45" s="18"/>
      <c r="N45" s="9"/>
      <c r="P45" s="18"/>
      <c r="Q45" s="18"/>
      <c r="R45" s="176" t="s">
        <v>560</v>
      </c>
      <c r="S45" s="9"/>
      <c r="T45" s="214"/>
      <c r="U45" s="214"/>
      <c r="V45" s="214"/>
    </row>
    <row r="46" spans="1:22" ht="16.5" customHeight="1">
      <c r="A46" s="272" t="s">
        <v>561</v>
      </c>
      <c r="B46" s="272" t="s">
        <v>561</v>
      </c>
      <c r="C46" s="272" t="s">
        <v>562</v>
      </c>
      <c r="D46" s="273"/>
      <c r="E46" s="273"/>
      <c r="F46" s="273"/>
      <c r="G46" s="274" t="s">
        <v>563</v>
      </c>
      <c r="L46" s="9"/>
      <c r="P46" s="18"/>
      <c r="Q46" s="9"/>
      <c r="R46" s="176" t="s">
        <v>564</v>
      </c>
      <c r="S46" s="9"/>
      <c r="T46" s="214"/>
      <c r="U46" s="214"/>
      <c r="V46" s="214"/>
    </row>
    <row r="47" spans="1:22" ht="16.5" customHeight="1">
      <c r="A47" s="272" t="s">
        <v>565</v>
      </c>
      <c r="B47" s="272" t="s">
        <v>566</v>
      </c>
      <c r="C47" s="272" t="s">
        <v>567</v>
      </c>
      <c r="D47" s="276"/>
      <c r="E47" s="276"/>
      <c r="F47" s="273"/>
      <c r="G47" s="274" t="s">
        <v>568</v>
      </c>
      <c r="M47" s="18"/>
      <c r="P47" s="18"/>
      <c r="Q47" s="18"/>
      <c r="R47" s="176" t="s">
        <v>569</v>
      </c>
      <c r="S47" s="9"/>
      <c r="T47" s="214"/>
      <c r="U47" s="214"/>
      <c r="V47" s="214"/>
    </row>
    <row r="48" spans="1:22" ht="16.5" customHeight="1">
      <c r="A48" s="272" t="s">
        <v>570</v>
      </c>
      <c r="B48" s="272" t="s">
        <v>571</v>
      </c>
      <c r="C48" s="272" t="s">
        <v>572</v>
      </c>
      <c r="D48" s="275"/>
      <c r="E48" s="275"/>
      <c r="F48" s="273"/>
      <c r="G48" s="274" t="s">
        <v>573</v>
      </c>
      <c r="K48" s="18"/>
      <c r="M48" s="9"/>
      <c r="P48" s="9"/>
      <c r="Q48" s="18"/>
      <c r="R48" s="176" t="s">
        <v>574</v>
      </c>
      <c r="S48" s="9"/>
      <c r="T48" s="214"/>
      <c r="U48" s="214"/>
      <c r="V48" s="214"/>
    </row>
    <row r="49" spans="1:22" ht="16.5" customHeight="1">
      <c r="A49" s="272" t="s">
        <v>575</v>
      </c>
      <c r="B49" s="272" t="s">
        <v>575</v>
      </c>
      <c r="C49" s="272" t="s">
        <v>576</v>
      </c>
      <c r="D49" s="273"/>
      <c r="E49" s="273"/>
      <c r="F49" s="273"/>
      <c r="G49" s="274"/>
      <c r="H49" s="18"/>
      <c r="I49" s="18"/>
      <c r="K49" s="9"/>
      <c r="P49" s="18"/>
      <c r="Q49" s="18"/>
      <c r="R49" s="176" t="s">
        <v>577</v>
      </c>
      <c r="S49" s="9"/>
      <c r="T49" s="214"/>
      <c r="U49" s="214"/>
      <c r="V49" s="214"/>
    </row>
    <row r="50" spans="1:22" ht="16.5" customHeight="1">
      <c r="A50" s="272" t="s">
        <v>578</v>
      </c>
      <c r="B50" s="272" t="s">
        <v>578</v>
      </c>
      <c r="C50" s="272" t="s">
        <v>579</v>
      </c>
      <c r="D50" s="273"/>
      <c r="E50" s="273"/>
      <c r="F50" s="273"/>
      <c r="G50" s="274" t="s">
        <v>580</v>
      </c>
      <c r="H50" s="9"/>
      <c r="I50" s="9"/>
      <c r="J50" s="18"/>
      <c r="P50" s="18"/>
      <c r="Q50" s="9"/>
      <c r="R50" s="176" t="s">
        <v>581</v>
      </c>
      <c r="S50" s="9"/>
      <c r="T50" s="214"/>
      <c r="U50" s="214"/>
      <c r="V50" s="214"/>
    </row>
    <row r="51" spans="1:22" ht="16.5" customHeight="1">
      <c r="A51" s="272" t="s">
        <v>582</v>
      </c>
      <c r="B51" s="272" t="s">
        <v>583</v>
      </c>
      <c r="C51" s="272" t="s">
        <v>584</v>
      </c>
      <c r="D51" s="273"/>
      <c r="E51" s="273"/>
      <c r="F51" s="273"/>
      <c r="G51" s="274" t="s">
        <v>585</v>
      </c>
      <c r="J51" s="9"/>
      <c r="P51" s="18"/>
      <c r="R51" s="176" t="s">
        <v>586</v>
      </c>
      <c r="S51" s="9"/>
      <c r="T51" s="214"/>
      <c r="U51" s="214"/>
      <c r="V51" s="214"/>
    </row>
    <row r="52" spans="1:22" ht="16.5" customHeight="1">
      <c r="A52" s="272" t="s">
        <v>587</v>
      </c>
      <c r="B52" s="272" t="s">
        <v>587</v>
      </c>
      <c r="C52" s="272" t="s">
        <v>588</v>
      </c>
      <c r="D52" s="273"/>
      <c r="E52" s="273"/>
      <c r="F52" s="273"/>
      <c r="G52" s="274" t="s">
        <v>589</v>
      </c>
      <c r="K52" s="18"/>
      <c r="P52" s="9"/>
      <c r="R52" s="176" t="s">
        <v>590</v>
      </c>
      <c r="S52" s="9"/>
      <c r="T52" s="214"/>
      <c r="U52" s="214"/>
      <c r="V52" s="214"/>
    </row>
    <row r="53" spans="1:22" ht="16.5" customHeight="1">
      <c r="A53" s="272" t="s">
        <v>591</v>
      </c>
      <c r="B53" s="272" t="s">
        <v>592</v>
      </c>
      <c r="C53" s="272" t="s">
        <v>593</v>
      </c>
      <c r="D53" s="273"/>
      <c r="E53" s="273"/>
      <c r="F53" s="273"/>
      <c r="G53" s="274" t="s">
        <v>594</v>
      </c>
      <c r="H53" s="18"/>
      <c r="I53" s="18"/>
      <c r="K53" s="9"/>
      <c r="R53" s="176" t="s">
        <v>595</v>
      </c>
      <c r="S53" s="9"/>
      <c r="T53" s="214"/>
      <c r="U53" s="214"/>
      <c r="V53" s="214"/>
    </row>
    <row r="54" spans="1:22" ht="16.5" customHeight="1">
      <c r="A54" s="272" t="s">
        <v>596</v>
      </c>
      <c r="B54" s="272" t="s">
        <v>597</v>
      </c>
      <c r="C54" s="272" t="s">
        <v>598</v>
      </c>
      <c r="D54" s="273"/>
      <c r="E54" s="273"/>
      <c r="F54" s="273"/>
      <c r="G54" s="274"/>
      <c r="P54" s="9"/>
      <c r="R54" s="176" t="s">
        <v>599</v>
      </c>
      <c r="S54" s="9"/>
      <c r="T54" s="214"/>
      <c r="U54" s="214"/>
      <c r="V54" s="214"/>
    </row>
    <row r="55" spans="1:22" ht="16.5" customHeight="1">
      <c r="A55" s="272" t="s">
        <v>600</v>
      </c>
      <c r="B55" s="272" t="s">
        <v>600</v>
      </c>
      <c r="C55" s="272" t="s">
        <v>601</v>
      </c>
      <c r="D55" s="273"/>
      <c r="E55" s="273"/>
      <c r="F55" s="273"/>
      <c r="G55" s="274" t="s">
        <v>602</v>
      </c>
      <c r="R55" s="176" t="s">
        <v>603</v>
      </c>
      <c r="S55" s="9"/>
      <c r="T55" s="214"/>
      <c r="U55" s="214"/>
      <c r="V55" s="214"/>
    </row>
    <row r="56" spans="1:22" ht="16.5" customHeight="1">
      <c r="A56" s="272" t="s">
        <v>604</v>
      </c>
      <c r="B56" s="272" t="s">
        <v>605</v>
      </c>
      <c r="C56" s="272" t="s">
        <v>606</v>
      </c>
      <c r="D56" s="273"/>
      <c r="E56" s="273"/>
      <c r="F56" s="273"/>
      <c r="G56" s="274" t="s">
        <v>607</v>
      </c>
      <c r="R56" s="176" t="s">
        <v>608</v>
      </c>
      <c r="S56" s="9"/>
      <c r="T56" s="214"/>
      <c r="U56" s="214"/>
      <c r="V56" s="214"/>
    </row>
    <row r="57" spans="1:22" ht="16.5" customHeight="1">
      <c r="A57" s="272" t="s">
        <v>609</v>
      </c>
      <c r="B57" s="272" t="s">
        <v>610</v>
      </c>
      <c r="C57" s="272" t="s">
        <v>611</v>
      </c>
      <c r="D57" s="273"/>
      <c r="E57" s="273"/>
      <c r="F57" s="273"/>
      <c r="R57" s="176" t="s">
        <v>612</v>
      </c>
      <c r="S57" s="9"/>
      <c r="T57" s="214"/>
      <c r="U57" s="214"/>
      <c r="V57" s="214"/>
    </row>
    <row r="58" spans="1:22" ht="16.5" customHeight="1">
      <c r="A58" s="277" t="s">
        <v>613</v>
      </c>
      <c r="B58" s="277" t="s">
        <v>528</v>
      </c>
      <c r="C58" s="277" t="s">
        <v>614</v>
      </c>
      <c r="D58" s="273"/>
      <c r="E58" s="273"/>
      <c r="F58" s="279"/>
      <c r="R58" s="176" t="s">
        <v>615</v>
      </c>
      <c r="S58" s="9"/>
      <c r="T58" s="214"/>
      <c r="U58" s="214"/>
      <c r="V58" s="214"/>
    </row>
    <row r="59" spans="1:22" ht="16.5" customHeight="1">
      <c r="A59" s="272" t="s">
        <v>616</v>
      </c>
      <c r="B59" s="272" t="s">
        <v>617</v>
      </c>
      <c r="C59" s="272" t="s">
        <v>618</v>
      </c>
      <c r="G59" s="274" t="s">
        <v>619</v>
      </c>
      <c r="R59" s="176" t="s">
        <v>620</v>
      </c>
      <c r="S59" s="9"/>
      <c r="T59" s="214"/>
      <c r="U59" s="214"/>
      <c r="V59" s="214"/>
    </row>
    <row r="60" spans="1:22" ht="16.5" customHeight="1">
      <c r="A60" s="274" t="s">
        <v>621</v>
      </c>
      <c r="B60" s="272" t="s">
        <v>622</v>
      </c>
      <c r="C60" s="274" t="s">
        <v>623</v>
      </c>
      <c r="R60" s="176" t="s">
        <v>624</v>
      </c>
      <c r="S60" s="9"/>
      <c r="T60" s="214"/>
      <c r="U60" s="214"/>
      <c r="V60" s="214"/>
    </row>
    <row r="61" spans="1:22" ht="16.5" customHeight="1">
      <c r="A61" s="272" t="s">
        <v>625</v>
      </c>
      <c r="B61" s="272" t="s">
        <v>626</v>
      </c>
      <c r="C61" s="272" t="s">
        <v>627</v>
      </c>
      <c r="R61" s="176" t="s">
        <v>628</v>
      </c>
      <c r="S61" s="9"/>
      <c r="T61" s="214"/>
      <c r="U61" s="214"/>
      <c r="V61" s="214"/>
    </row>
    <row r="62" spans="1:22" ht="16.5" customHeight="1">
      <c r="A62" s="272" t="s">
        <v>629</v>
      </c>
      <c r="B62" s="272" t="s">
        <v>630</v>
      </c>
      <c r="C62" s="272" t="s">
        <v>631</v>
      </c>
      <c r="R62" s="176" t="s">
        <v>632</v>
      </c>
      <c r="S62" s="9"/>
      <c r="T62" s="214"/>
      <c r="U62" s="214"/>
      <c r="V62" s="214"/>
    </row>
    <row r="63" spans="1:22" ht="16.5" customHeight="1">
      <c r="A63" s="272" t="s">
        <v>633</v>
      </c>
      <c r="B63" s="272" t="s">
        <v>633</v>
      </c>
      <c r="C63" s="272" t="s">
        <v>634</v>
      </c>
      <c r="R63" s="176" t="s">
        <v>635</v>
      </c>
      <c r="T63" s="214"/>
      <c r="U63" s="214"/>
      <c r="V63" s="214"/>
    </row>
    <row r="64" spans="1:22" ht="16.5" customHeight="1">
      <c r="A64" s="276" t="s">
        <v>636</v>
      </c>
      <c r="B64" s="276" t="s">
        <v>637</v>
      </c>
      <c r="C64" s="278" t="s">
        <v>638</v>
      </c>
      <c r="R64" s="176" t="s">
        <v>639</v>
      </c>
    </row>
    <row r="65" spans="1:18" ht="16.5" customHeight="1">
      <c r="A65" s="272" t="s">
        <v>640</v>
      </c>
      <c r="B65" s="272" t="s">
        <v>641</v>
      </c>
      <c r="C65" s="272" t="s">
        <v>642</v>
      </c>
      <c r="R65" s="176" t="s">
        <v>643</v>
      </c>
    </row>
    <row r="66" spans="1:18" ht="16.5" customHeight="1">
      <c r="A66" s="272" t="s">
        <v>644</v>
      </c>
      <c r="B66" t="s">
        <v>479</v>
      </c>
      <c r="C66" t="s">
        <v>480</v>
      </c>
      <c r="R66" s="176" t="s">
        <v>645</v>
      </c>
    </row>
    <row r="67" spans="1:18" ht="16.5" customHeight="1">
      <c r="R67" s="176" t="s">
        <v>646</v>
      </c>
    </row>
    <row r="68" spans="1:18" ht="16.5" customHeight="1">
      <c r="R68" s="176" t="s">
        <v>647</v>
      </c>
    </row>
    <row r="69" spans="1:18" ht="16.5" customHeight="1">
      <c r="R69" s="176" t="s">
        <v>648</v>
      </c>
    </row>
    <row r="70" spans="1:18" ht="16.5" customHeight="1">
      <c r="R70" s="176" t="s">
        <v>649</v>
      </c>
    </row>
    <row r="71" spans="1:18" ht="16.5" customHeight="1">
      <c r="R71" s="176" t="s">
        <v>650</v>
      </c>
    </row>
    <row r="72" spans="1:18" ht="16.5" customHeight="1">
      <c r="R72" s="176" t="s">
        <v>651</v>
      </c>
    </row>
    <row r="73" spans="1:18" ht="16.5" customHeight="1">
      <c r="R73" s="176" t="s">
        <v>652</v>
      </c>
    </row>
    <row r="74" spans="1:18" ht="16.5" customHeight="1">
      <c r="R74" s="176" t="s">
        <v>653</v>
      </c>
    </row>
    <row r="75" spans="1:18" ht="16.5" customHeight="1">
      <c r="R75" s="176" t="s">
        <v>654</v>
      </c>
    </row>
    <row r="76" spans="1:18" ht="16.5" customHeight="1">
      <c r="R76" s="176" t="s">
        <v>655</v>
      </c>
    </row>
    <row r="77" spans="1:18" ht="16.5" customHeight="1">
      <c r="B77" s="18"/>
      <c r="C77" s="18"/>
      <c r="R77" s="176" t="s">
        <v>656</v>
      </c>
    </row>
    <row r="78" spans="1:18" ht="16.5" customHeight="1">
      <c r="R78" s="176" t="s">
        <v>657</v>
      </c>
    </row>
    <row r="79" spans="1:18" ht="16.5" customHeight="1">
      <c r="B79" s="18"/>
      <c r="C79" s="18"/>
      <c r="R79" s="176" t="s">
        <v>658</v>
      </c>
    </row>
    <row r="80" spans="1:18" ht="16.5" customHeight="1">
      <c r="R80" s="176" t="s">
        <v>659</v>
      </c>
    </row>
    <row r="81" spans="2:18" ht="16.5" customHeight="1">
      <c r="B81" s="18"/>
      <c r="C81" s="18"/>
      <c r="R81" s="176" t="s">
        <v>660</v>
      </c>
    </row>
    <row r="82" spans="2:18" ht="16.5" customHeight="1">
      <c r="R82" s="176" t="s">
        <v>661</v>
      </c>
    </row>
    <row r="83" spans="2:18" ht="16.5" customHeight="1">
      <c r="B83" s="18"/>
      <c r="C83" s="18"/>
      <c r="R83" s="176" t="s">
        <v>662</v>
      </c>
    </row>
    <row r="84" spans="2:18" ht="16.5" customHeight="1">
      <c r="R84" s="176" t="s">
        <v>663</v>
      </c>
    </row>
    <row r="85" spans="2:18" ht="16.5" customHeight="1">
      <c r="B85" s="18"/>
      <c r="C85" s="18"/>
      <c r="R85" s="176" t="s">
        <v>664</v>
      </c>
    </row>
    <row r="86" spans="2:18" ht="16.5" customHeight="1">
      <c r="R86" s="176" t="s">
        <v>665</v>
      </c>
    </row>
    <row r="87" spans="2:18" ht="16.5" customHeight="1">
      <c r="B87" s="18"/>
      <c r="C87" s="18"/>
      <c r="R87" s="176" t="s">
        <v>666</v>
      </c>
    </row>
    <row r="88" spans="2:18" ht="16.5" customHeight="1">
      <c r="R88" s="176" t="s">
        <v>667</v>
      </c>
    </row>
    <row r="89" spans="2:18" ht="16.5" customHeight="1">
      <c r="B89" s="18"/>
      <c r="C89" s="18"/>
      <c r="R89" s="176" t="s">
        <v>668</v>
      </c>
    </row>
    <row r="90" spans="2:18" ht="16.5" customHeight="1">
      <c r="R90" s="176" t="s">
        <v>669</v>
      </c>
    </row>
    <row r="91" spans="2:18" ht="18">
      <c r="B91" s="18"/>
      <c r="C91" s="18"/>
      <c r="R91" s="176" t="s">
        <v>670</v>
      </c>
    </row>
    <row r="92" spans="2:18">
      <c r="R92" s="176" t="s">
        <v>671</v>
      </c>
    </row>
    <row r="93" spans="2:18" ht="18">
      <c r="B93" s="18"/>
      <c r="C93" s="18"/>
      <c r="R93" s="176" t="s">
        <v>672</v>
      </c>
    </row>
    <row r="94" spans="2:18">
      <c r="R94" s="176" t="s">
        <v>673</v>
      </c>
    </row>
    <row r="95" spans="2:18" ht="18">
      <c r="B95" s="18"/>
      <c r="C95" s="18"/>
      <c r="R95" s="176" t="s">
        <v>674</v>
      </c>
    </row>
    <row r="96" spans="2:18">
      <c r="R96" s="176" t="s">
        <v>675</v>
      </c>
    </row>
    <row r="97" spans="2:18" ht="18">
      <c r="B97" s="18"/>
      <c r="C97" s="18"/>
      <c r="R97" s="176" t="s">
        <v>676</v>
      </c>
    </row>
    <row r="99" spans="2:18" ht="18">
      <c r="B99" s="18"/>
      <c r="C99" s="18"/>
    </row>
    <row r="101" spans="2:18" ht="18">
      <c r="B101" s="18"/>
      <c r="C101" s="18"/>
    </row>
    <row r="103" spans="2:18" ht="18">
      <c r="B103" s="18"/>
      <c r="C103" s="18"/>
    </row>
    <row r="105" spans="2:18" ht="18">
      <c r="B105" s="18"/>
      <c r="C105" s="18"/>
    </row>
  </sheetData>
  <sortState ref="A4:C47">
    <sortCondition ref="A4:A47"/>
  </sortState>
  <pageMargins left="0.7" right="0.7" top="0.75" bottom="0.75" header="0.3" footer="0.3"/>
  <pageSetup paperSize="9" orientation="portrait" r:id="rId1"/>
  <customProperties>
    <customPr name="EpmWorksheetKeyString_GU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_dlc_DocId xmlns="f089171f-9a62-46ba-b25a-510fcfdc944d">LEGDHKNZFHQE-17-21309</_dlc_DocId>
    <_dlc_DocIdUrl xmlns="f089171f-9a62-46ba-b25a-510fcfdc944d">
      <Url>https://sharepoint/Legal/_layouts/15/DocIdRedir.aspx?ID=LEGDHKNZFHQE-17-21309</Url>
      <Description>LEGDHKNZFHQE-17-21309</Description>
    </_dlc_DocIdUrl>
    <_x041a__x043e__x043c__x043c__x0435__x043d__x0442__x0430__x0440__x0438__x0438_ xmlns="06e9fca7-566a-4355-bf4a-5bc3b8501c30" xsi:nil="true"/>
  </documentManagement>
</p:properties>
</file>

<file path=customXml/item4.xml><?xml version="1.0" encoding="utf-8"?>
<ct:contentTypeSchema xmlns:ct="http://schemas.microsoft.com/office/2006/metadata/contentType" xmlns:ma="http://schemas.microsoft.com/office/2006/metadata/properties/metaAttributes" ct:_="" ma:_="" ma:contentTypeName="Документ" ma:contentTypeID="0x0101005212DEAE588D5D4BAA760B5078F8715D" ma:contentTypeVersion="1" ma:contentTypeDescription="Создание документа." ma:contentTypeScope="" ma:versionID="4bb186040b0d81a4ce54b94dfb03b7f9">
  <xsd:schema xmlns:xsd="http://www.w3.org/2001/XMLSchema" xmlns:xs="http://www.w3.org/2001/XMLSchema" xmlns:p="http://schemas.microsoft.com/office/2006/metadata/properties" xmlns:ns2="f089171f-9a62-46ba-b25a-510fcfdc944d" xmlns:ns3="06e9fca7-566a-4355-bf4a-5bc3b8501c30" targetNamespace="http://schemas.microsoft.com/office/2006/metadata/properties" ma:root="true" ma:fieldsID="8a7442e5b75d31489effc0e4cc8ab497" ns2:_="" ns3:_="">
    <xsd:import namespace="f089171f-9a62-46ba-b25a-510fcfdc944d"/>
    <xsd:import namespace="06e9fca7-566a-4355-bf4a-5bc3b8501c30"/>
    <xsd:element name="properties">
      <xsd:complexType>
        <xsd:sequence>
          <xsd:element name="documentManagement">
            <xsd:complexType>
              <xsd:all>
                <xsd:element ref="ns2:_dlc_DocId" minOccurs="0"/>
                <xsd:element ref="ns2:_dlc_DocIdUrl" minOccurs="0"/>
                <xsd:element ref="ns2:_dlc_DocIdPersistId" minOccurs="0"/>
                <xsd:element ref="ns3:_x041a__x043e__x043c__x043c__x0435__x043d__x0442__x0430__x0440__x0438__x0438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089171f-9a62-46ba-b25a-510fcfdc944d" elementFormDefault="qualified">
    <xsd:import namespace="http://schemas.microsoft.com/office/2006/documentManagement/types"/>
    <xsd:import namespace="http://schemas.microsoft.com/office/infopath/2007/PartnerControls"/>
    <xsd:element name="_dlc_DocId" ma:index="8" nillable="true" ma:displayName="Значение идентификатора документа" ma:description="Значение идентификатора документа, присвоенного данному элементу." ma:internalName="_dlc_DocId" ma:readOnly="true">
      <xsd:simpleType>
        <xsd:restriction base="dms:Text"/>
      </xsd:simpleType>
    </xsd:element>
    <xsd:element name="_dlc_DocIdUrl" ma:index="9" nillable="true" ma:displayName="Идентификатор документа" ma:description="Постоянная ссылка на этот документ."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Сохранить идентификатор" ma:description="Сохранять идентификатор при добавлении."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06e9fca7-566a-4355-bf4a-5bc3b8501c30" elementFormDefault="qualified">
    <xsd:import namespace="http://schemas.microsoft.com/office/2006/documentManagement/types"/>
    <xsd:import namespace="http://schemas.microsoft.com/office/infopath/2007/PartnerControls"/>
    <xsd:element name="_x041a__x043e__x043c__x043c__x0435__x043d__x0442__x0430__x0440__x0438__x0438_" ma:index="11" nillable="true" ma:displayName="Комментарии" ma:internalName="_x041a__x043e__x043c__x043c__x0435__x043d__x0442__x0430__x0440__x0438__x0438_">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1085BDD-D729-41DA-B3B0-81B7882DD63A}"/>
</file>

<file path=customXml/itemProps2.xml><?xml version="1.0" encoding="utf-8"?>
<ds:datastoreItem xmlns:ds="http://schemas.openxmlformats.org/officeDocument/2006/customXml" ds:itemID="{13527446-1B57-47C8-8C76-5AEECCAF61EB}"/>
</file>

<file path=customXml/itemProps3.xml><?xml version="1.0" encoding="utf-8"?>
<ds:datastoreItem xmlns:ds="http://schemas.openxmlformats.org/officeDocument/2006/customXml" ds:itemID="{8E1684D2-0104-4AB2-AA34-9BBCA39A3DA9}"/>
</file>

<file path=customXml/itemProps4.xml><?xml version="1.0" encoding="utf-8"?>
<ds:datastoreItem xmlns:ds="http://schemas.openxmlformats.org/officeDocument/2006/customXml" ds:itemID="{84FC4AA2-F667-497F-BD4A-515C8D20BE03}"/>
</file>

<file path=docProps/app.xml><?xml version="1.0" encoding="utf-8"?>
<Properties xmlns="http://schemas.openxmlformats.org/officeDocument/2006/extended-properties" xmlns:vt="http://schemas.openxmlformats.org/officeDocument/2006/docPropsVTypes">
  <Application>Microsoft Excel Online</Application>
  <Manager/>
  <Company>СИБУР</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Пугачева Ольга Викторовна</dc:creator>
  <cp:keywords/>
  <dc:description/>
  <cp:lastModifiedBy>Каргин Даниил Валерьевич</cp:lastModifiedBy>
  <cp:revision/>
  <dcterms:created xsi:type="dcterms:W3CDTF">2000-11-13T10:25:58Z</dcterms:created>
  <dcterms:modified xsi:type="dcterms:W3CDTF">2025-10-08T11:49:07Z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0x0101005212DEAE588D5D4BAA760B5078F8715D</vt:lpwstr>
  </property>
  <property fmtid="{D5CDD505-2E9C-101B-9397-08002B2CF9AE}" pid="3" name="_dlc_DocIdItemGuid">
    <vt:lpwstr>70ffaf10-4bcc-4529-8e69-9f25ad9eb70e</vt:lpwstr>
  </property>
</Properties>
</file>