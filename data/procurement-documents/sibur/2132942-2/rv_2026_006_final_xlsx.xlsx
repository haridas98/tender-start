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otovFK\Desktop\Проекты Чикурова\МИТИ КОС 2026\2026_006\Документы на конкурс\"/>
    </mc:Choice>
  </mc:AlternateContent>
  <xr:revisionPtr revIDLastSave="0" documentId="8_{35ECB7A4-23A4-4979-BAA5-0D50D0351F9A}" xr6:coauthVersionLast="47" xr6:coauthVersionMax="47" xr10:uidLastSave="{00000000-0000-0000-0000-000000000000}"/>
  <bookViews>
    <workbookView xWindow="-110" yWindow="-110" windowWidth="19420" windowHeight="10300" xr2:uid="{8D362ED2-5BDF-4003-AD67-9FEA8936CCB7}"/>
  </bookViews>
  <sheets>
    <sheet name="Лист1" sheetId="1" r:id="rId1"/>
  </sheets>
  <definedNames>
    <definedName name="_xlnm._FilterDatabase" localSheetId="0" hidden="1">Лист1!$A$2:$I$129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0" i="1" l="1"/>
  <c r="H119" i="1"/>
  <c r="H118" i="1"/>
  <c r="H117" i="1"/>
  <c r="H116" i="1"/>
  <c r="H115" i="1"/>
  <c r="F120" i="1" l="1"/>
  <c r="F119" i="1"/>
  <c r="F118" i="1"/>
  <c r="F117" i="1"/>
  <c r="F116" i="1"/>
  <c r="F115" i="1"/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2" i="1"/>
  <c r="H31" i="1"/>
  <c r="H30" i="1"/>
  <c r="H29" i="1"/>
  <c r="H28" i="1"/>
  <c r="H27" i="1"/>
  <c r="H26" i="1"/>
  <c r="H94" i="1"/>
  <c r="H86" i="1"/>
  <c r="H78" i="1"/>
  <c r="H74" i="1"/>
  <c r="H75" i="1" s="1"/>
  <c r="H76" i="1" s="1"/>
  <c r="H73" i="1"/>
  <c r="H72" i="1"/>
  <c r="H71" i="1"/>
  <c r="G57" i="1"/>
  <c r="F94" i="1"/>
  <c r="F86" i="1"/>
  <c r="F78" i="1"/>
  <c r="F74" i="1"/>
  <c r="F75" i="1" s="1"/>
  <c r="F76" i="1" s="1"/>
  <c r="F73" i="1"/>
  <c r="F72" i="1"/>
  <c r="F71" i="1"/>
  <c r="F57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</calcChain>
</file>

<file path=xl/sharedStrings.xml><?xml version="1.0" encoding="utf-8"?>
<sst xmlns="http://schemas.openxmlformats.org/spreadsheetml/2006/main" count="933" uniqueCount="320">
  <si>
    <t>№ п/п</t>
  </si>
  <si>
    <t>Наименование материала</t>
  </si>
  <si>
    <t>Ед. изм</t>
  </si>
  <si>
    <t>Кол-во</t>
  </si>
  <si>
    <t>м</t>
  </si>
  <si>
    <t>шт.</t>
  </si>
  <si>
    <t>Разделительная ведомость по поставке оборудования и материалов по проекту 2026_006 "Приведение системы СТВН к техническим требованиям СИБУРа СМР, ПНР. Замена аналоговых камер на цифровые. Этап 2 к.153а" ПАО "Казаньоргсинтез"</t>
  </si>
  <si>
    <t>Тип, марка, обозначение  документа / опросного листа</t>
  </si>
  <si>
    <t>1.1</t>
  </si>
  <si>
    <t>IP-видеокамера цилиндрическая, взрывозащищенная, SFP, 2 МП, 1920×1080, 1/2.8", мотор. объектив, 2.8-12 мм, AC 230 В, -50+60 °С, кабель ZAIFC17-2.5</t>
  </si>
  <si>
    <t>Apix Bullet Excam/M2 2812AF SFP L/W 220</t>
  </si>
  <si>
    <t>1.2</t>
  </si>
  <si>
    <t>- Швеллер 10П</t>
  </si>
  <si>
    <t>ГОСТ 8240-97</t>
  </si>
  <si>
    <t>- Анкер М10</t>
  </si>
  <si>
    <t>CM441060</t>
  </si>
  <si>
    <t>- Саморез с пресс-шайбой 4.2x32 со сверлом</t>
  </si>
  <si>
    <t>CM274032</t>
  </si>
  <si>
    <t>1.3</t>
  </si>
  <si>
    <t>- Шпилька М8х1000</t>
  </si>
  <si>
    <t>CM200801</t>
  </si>
  <si>
    <t>- Болт с шестигранной головкой М6х20</t>
  </si>
  <si>
    <t>CM020620</t>
  </si>
  <si>
    <t>- Гайка шестигранная М10</t>
  </si>
  <si>
    <t>CM111000</t>
  </si>
  <si>
    <t>- Шайба с узкими полями М6</t>
  </si>
  <si>
    <t>CM240600</t>
  </si>
  <si>
    <t>- Гайка шестигранная М8</t>
  </si>
  <si>
    <t>CM110800</t>
  </si>
  <si>
    <t>- Шайба с узкими полями М8</t>
  </si>
  <si>
    <t>CM240800</t>
  </si>
  <si>
    <t>- П-образный профиль PSL, L1000</t>
  </si>
  <si>
    <t>BPL2910</t>
  </si>
  <si>
    <t>1.4</t>
  </si>
  <si>
    <t>- Корпус коммутационной коробки взрывозащищенной из коррозионностойкого
модифицированного алюминиево-кремниевого сплава ЩОРВА363626 361,5х361,5х264,5 мм IP66 1 шт.,
- Кабельный ввод взрывозащищенный 1Ex db IIC Gb, 1Ex eb IIC Gb, Ex tb IIIC Db, РВ Ex db I Mb, IP66/IP67/IP68 для кабелей диаметром 6-12 мм для небронированного кабеля, резьба M20x1,5 никелир.латунь КНВ1M 1 шт.,
- Кабельный ввод взрывозащищенный 1Ex db IIC Gb, 1Ex eb IIC Gb, Ex tb IIIC Db, РВ Ex db I Mb, IP66/IP67/IP68, под бронир. кабель (d=6-12мм,D=9-17мм), резьба М20x1.5, никелир.латунь КОВ1MНК 1 шт.,
- Кабельный ввод взрывозащищённый 1Ex db IIC Gb, 1Ex eb IIC Gb, Ex tb IIIC Db, РВ Ex db I Mb, IP66/IP67/IP68 с герметизацией компаундом, резьба М25х1,5, никелир. латунь КНВС2MНК 1 шт.</t>
  </si>
  <si>
    <t>ЩОРВА363626</t>
  </si>
  <si>
    <t>- DIN-рейка 10 см оцинкованная</t>
  </si>
  <si>
    <t>YDN10-00100</t>
  </si>
  <si>
    <t>- Шина PE "земля" в комбинированном DIN-изоляторе типа "Стойка", 6 подключений, 16 мм2 макс. сечение проводника</t>
  </si>
  <si>
    <t>YNN10-812-6DP-K05</t>
  </si>
  <si>
    <t>- Автоматический выключатель, 2П, In=1 А, хар. B</t>
  </si>
  <si>
    <t>260584</t>
  </si>
  <si>
    <t>- УЗИП, класс II+III, In (8/20) -10 кА, Imax (8/20)-20 кА</t>
  </si>
  <si>
    <t>К2Р КВ23 230 1+1 С</t>
  </si>
  <si>
    <t>- Бокс оптический универсальный, настенный на 4 порта (SC, duplex LC, ST, FC)</t>
  </si>
  <si>
    <t>FO-WBY-4UN-MK</t>
  </si>
  <si>
    <t>- Пигтейл волоконно-оптический SM 9/125 (OS2), FC/UPC, 1 м, LSZH</t>
  </si>
  <si>
    <t>FPT-B9-9-FC/UR-1M-LSZH-YL</t>
  </si>
  <si>
    <t>- Оптический проходной адаптер FC-FC, SM, simplex</t>
  </si>
  <si>
    <t>FA-S00Z-FC/FC-N/GN-SL</t>
  </si>
  <si>
    <t>- Ограничитель на DIN-рейку (пластик)</t>
  </si>
  <si>
    <t>etm12-2903</t>
  </si>
  <si>
    <t>- Комплект деталей для защиты места сварки, КДЗС (60 мм)</t>
  </si>
  <si>
    <t>FO-FFSPS-60</t>
  </si>
  <si>
    <t>1.5</t>
  </si>
  <si>
    <t>- Стандартный анкер с болтом М6</t>
  </si>
  <si>
    <t>CM430645</t>
  </si>
  <si>
    <t>1.6</t>
  </si>
  <si>
    <t>- Болт с шестигранной головкой М10Х25</t>
  </si>
  <si>
    <t>CM021025</t>
  </si>
  <si>
    <t>- Шайба с узкими полями М10</t>
  </si>
  <si>
    <t>CM241000</t>
  </si>
  <si>
    <t>2.1</t>
  </si>
  <si>
    <t>- Коммутатор L3, 24x10GBase-X SFP+, 24×10/100/1000Base-T</t>
  </si>
  <si>
    <t>S5732-H48XUM2CC (02353MLH/02353MLH-001/02353MLH-002)</t>
  </si>
  <si>
    <t>- Блок питания для коммутатора, 1000 Вт</t>
  </si>
  <si>
    <t>PAC1000S56-DB</t>
  </si>
  <si>
    <t xml:space="preserve">- Лицензия ТП на 3 года </t>
  </si>
  <si>
    <t>- Модуль SFP 10GBASE-BX, WDM SFP+, Tx1330nm/Rx1270nm, 20км, SM,  -5°C - 70°C, DDM, LC</t>
  </si>
  <si>
    <t>CQ832S5KSEMU</t>
  </si>
  <si>
    <t>- Модуль SFP 10GBASE-BX, WDM SFP+, Tx1270nm/Rx1330nm, 20км, SM,  -5°C - 70°C, DDM, LC</t>
  </si>
  <si>
    <t>CQ823S5KSEMU</t>
  </si>
  <si>
    <t>- Модуль SFP 1000BASE-BX WDM SFP 20 км, Tx1310nm/Rx1550nm, -5°C - 70°C, DDM, LC</t>
  </si>
  <si>
    <t>CB635S5CSEMU</t>
  </si>
  <si>
    <t>- Модуль SFP 1000BASE-BX WDM SFP 20 км, Tx1550nm/Rx1310nm, -5°C - 70°C, DDM, LC</t>
  </si>
  <si>
    <t>CB653S5CSEM</t>
  </si>
  <si>
    <t>- Модуль SFP 100BASE-BX, WDM SFP, Tx1550nm/Rx1310nm, 20км, SM, -40°C - 85°C, LC</t>
  </si>
  <si>
    <t>CB553S5ASIU</t>
  </si>
  <si>
    <t>- Модуль SFP 1000BASE-T, RJ45, 100 м, -5°C - 70°C</t>
  </si>
  <si>
    <t>CB600S1CTER1U</t>
  </si>
  <si>
    <t>- Автоматический выключатель дифференциального тока, 2П, In=3 А, хар. C</t>
  </si>
  <si>
    <t>062203648B</t>
  </si>
  <si>
    <t>- Комплект крепежный для установки 19" оборудования: винт, шайба, гайка - комплект крепления 50 шт.</t>
  </si>
  <si>
    <t>R5CNS50</t>
  </si>
  <si>
    <t>- Медная шина заземления, 19", 482 мм</t>
  </si>
  <si>
    <t>TGRD-19</t>
  </si>
  <si>
    <t>- Панель 19" с DIN-рейкой, 2U</t>
  </si>
  <si>
    <t>STK-RACKMNT-2955</t>
  </si>
  <si>
    <t>- Шина PE "земля" в комбинированном DIN-изоляторе типа "Стойка", 10 подключений, 16 мм2 макс. сечение проводника</t>
  </si>
  <si>
    <t>YNN10-812-10DP-K05</t>
  </si>
  <si>
    <t>- Извещатель охранный магнитоконтактный, 2 м, ИО 102-20/Б 2П</t>
  </si>
  <si>
    <t>1375694</t>
  </si>
  <si>
    <t>- Датчик влажности и температуры</t>
  </si>
  <si>
    <t>RS-HT1</t>
  </si>
  <si>
    <t>- Оптический кросс 19", 1U, 24 порта SC/UPC</t>
  </si>
  <si>
    <t>ШКОС-С-1U/2-24-SC~24-SC/SM~24-SC/UPC</t>
  </si>
  <si>
    <t>3.1</t>
  </si>
  <si>
    <t>Стяжка-липучка с мягкой пряжкой, 240х16мм, черная, (упак. 10 шт.)</t>
  </si>
  <si>
    <t>NMC-CTV240-16-SB-BK-10</t>
  </si>
  <si>
    <t>3.2</t>
  </si>
  <si>
    <t>- Труба стальная бесшовная ∅57х3</t>
  </si>
  <si>
    <t>ГОСТ 8732-78</t>
  </si>
  <si>
    <t>- Герметик огнезащитный, картридж 300 мл</t>
  </si>
  <si>
    <t>DS1202</t>
  </si>
  <si>
    <t>- Пена однокомпонентная огнезащитная баллон 740 мл</t>
  </si>
  <si>
    <t>DF1201</t>
  </si>
  <si>
    <t>3.6</t>
  </si>
  <si>
    <t>Зажим шлейфовый для кабеля</t>
  </si>
  <si>
    <t>ЗКШ3-П-6/18-2</t>
  </si>
  <si>
    <t>3.7</t>
  </si>
  <si>
    <t>Лента монтажная F 20.7</t>
  </si>
  <si>
    <t>22100011</t>
  </si>
  <si>
    <t>3.8</t>
  </si>
  <si>
    <t>Замок (скрепа) для ленты монтажной</t>
  </si>
  <si>
    <t>130801-00332</t>
  </si>
  <si>
    <t>3.9</t>
  </si>
  <si>
    <t>Скоба металлическая СМД 14-15</t>
  </si>
  <si>
    <t>49373</t>
  </si>
  <si>
    <t>3.10</t>
  </si>
  <si>
    <t>Скоба металлическая СМД 10-11</t>
  </si>
  <si>
    <t>52759</t>
  </si>
  <si>
    <t>3.11</t>
  </si>
  <si>
    <t>Саморез 3,5х50 мм с дюбелем F6</t>
  </si>
  <si>
    <t>CM06541</t>
  </si>
  <si>
    <t>3.3</t>
  </si>
  <si>
    <t>Лента маркировочная, 25,4x88,9 мм (уп. 120 шт.)</t>
  </si>
  <si>
    <t>LB20662</t>
  </si>
  <si>
    <t>3.4</t>
  </si>
  <si>
    <t>Бирка кабельная маркировочная 134 большой квадрат (уп. 100 шт)</t>
  </si>
  <si>
    <t>mt-134-bs</t>
  </si>
  <si>
    <t>3.5</t>
  </si>
  <si>
    <t>Маркер перманентный двухсторонний 2мм/1мм</t>
  </si>
  <si>
    <t>P-800W</t>
  </si>
  <si>
    <t>4.1</t>
  </si>
  <si>
    <t>Патч-корд U/UTP, Cat.5е, LSZH, 1 м, серый</t>
  </si>
  <si>
    <t>PC-LPM-UTP-RJ45-RJ45-C5e-1M-LSZH-GY</t>
  </si>
  <si>
    <t>4.2</t>
  </si>
  <si>
    <t>Патч-корд U/UTP, Cat.5е, LSZH, 0,15 м, серый</t>
  </si>
  <si>
    <t>PC-LPM-UTP-RJ45-RJ45-C5e-0.15M-LSZH-GY</t>
  </si>
  <si>
    <t>4.3</t>
  </si>
  <si>
    <t>Патч-корд U/UTP, Cat.5е, LSZH, 0,3 м, серый</t>
  </si>
  <si>
    <t>PC-LPM-UTP-RJ45-RJ45-C5e-0.3M-LSZH-GY</t>
  </si>
  <si>
    <t>4.4</t>
  </si>
  <si>
    <t>Кабель витая пара, неэкранированный U/UTP, категория 5e, 4 пары 24 AWG, LSZH, нг(А)-HF, внутренний</t>
  </si>
  <si>
    <t>UUTP4-C5E-S24-IN-LSZH-BK-100</t>
  </si>
  <si>
    <t>4.5</t>
  </si>
  <si>
    <t>Кабель оптический 4 ОВ, SM, G.652.D и G.657.A1, Нг(А)-HF</t>
  </si>
  <si>
    <t>ДПО-нг(А)-HF-04У (1х4)-2,7кН</t>
  </si>
  <si>
    <t>4.6</t>
  </si>
  <si>
    <t>Оптический патч-корд, SM 9/125 (OS2), LC/UPC-SC/UPC, 2.0 мм, simplex, LSZH, 1 м</t>
  </si>
  <si>
    <t>FC-S2-9-LC/UR-SC/UR-H-1M-LSZH-YL</t>
  </si>
  <si>
    <t>4.7</t>
  </si>
  <si>
    <t>Кабель питания Sсhuko - IEC320 C13 3 м сечение 3х1,5 мм</t>
  </si>
  <si>
    <t>R5CORDS330</t>
  </si>
  <si>
    <t>4.8</t>
  </si>
  <si>
    <t>Силовой кабель, с медной жилой, изоляцией из ПВХ, бронированный, защитный шланг из ПВХ пониженной пожарной опасности, сечением 2,5 мм2</t>
  </si>
  <si>
    <t>Вз-ВБШвнг(А)-LS 3х2,5ок(N,PE)-1</t>
  </si>
  <si>
    <t>4.9</t>
  </si>
  <si>
    <t>Силовой кабель, с медной жилой, изоляцией и оболочкой из ПВХ пониженной пожарной опасности сечением 2,5 мм2</t>
  </si>
  <si>
    <t>ВВГнг(А)-LS 3x2,5</t>
  </si>
  <si>
    <t>4.10</t>
  </si>
  <si>
    <t>Вилка кабельная каучуковая (ввод кабеля с торца) синяя IP20 16А 2P+E 250В</t>
  </si>
  <si>
    <t>DIS1103100</t>
  </si>
  <si>
    <t>4.11</t>
  </si>
  <si>
    <t>Пружина постоянного давления роликовая</t>
  </si>
  <si>
    <t>4.12</t>
  </si>
  <si>
    <t>Провод силовой установочный гибкий, в изоляции и оболочке из ПВХ пластиката пониженной пожарной опасности, с пониженным дымовыделением</t>
  </si>
  <si>
    <t>ПуГВнг(А)-LS 1х6</t>
  </si>
  <si>
    <t>4.13</t>
  </si>
  <si>
    <t>Зажим шинный (терминал) ЗШИ 1.5-16мм2 для шины 10 мм</t>
  </si>
  <si>
    <t>YNT10-10-25-016</t>
  </si>
  <si>
    <t>6.2</t>
  </si>
  <si>
    <t>6.3</t>
  </si>
  <si>
    <t>Наконечник медный луженый сечение обжимаемой жилы 6 мм2, диаметр крепежного болта 6 мм</t>
  </si>
  <si>
    <t>ТМЛ 6-6-4</t>
  </si>
  <si>
    <t>5</t>
  </si>
  <si>
    <t>1</t>
  </si>
  <si>
    <t>4</t>
  </si>
  <si>
    <t>2</t>
  </si>
  <si>
    <t>7</t>
  </si>
  <si>
    <t>уп.</t>
  </si>
  <si>
    <t>20</t>
  </si>
  <si>
    <t>3</t>
  </si>
  <si>
    <t>13</t>
  </si>
  <si>
    <t>14</t>
  </si>
  <si>
    <t>9</t>
  </si>
  <si>
    <t>Заказчик</t>
  </si>
  <si>
    <t>Подрядчик</t>
  </si>
  <si>
    <t>Завод изготовитель/ Поставщик</t>
  </si>
  <si>
    <t>Лоток 200х100 L3000 толщина 1,0 мм</t>
  </si>
  <si>
    <t>3510310</t>
  </si>
  <si>
    <t>Перегородка SEP L3000 H100</t>
  </si>
  <si>
    <t>36510</t>
  </si>
  <si>
    <t>Угол CPO 90 горизонтальный 90° 200х100</t>
  </si>
  <si>
    <t>36043K</t>
  </si>
  <si>
    <t>Угол CD 90 вертикальный внешний 90° 200/100</t>
  </si>
  <si>
    <t>36823K</t>
  </si>
  <si>
    <t>1.8</t>
  </si>
  <si>
    <t>Угол CS 90 вертикальный внутренний 90° 200/100</t>
  </si>
  <si>
    <t>36703K</t>
  </si>
  <si>
    <t>1.10</t>
  </si>
  <si>
    <t>Крепление ТМ к стене для вертикального монтажа осн.200 мм</t>
  </si>
  <si>
    <t>BMM1020</t>
  </si>
  <si>
    <t>1.11</t>
  </si>
  <si>
    <t>Консоль универсальная осн. 300 мм</t>
  </si>
  <si>
    <t>BBN5030</t>
  </si>
  <si>
    <t>1.12</t>
  </si>
  <si>
    <t>Уголок крепежный 180 мм</t>
  </si>
  <si>
    <t>BMC1031</t>
  </si>
  <si>
    <t>1.13</t>
  </si>
  <si>
    <t>Саморез с пресс-шайбой 4.2x25 со сверлом</t>
  </si>
  <si>
    <t>CM274025</t>
  </si>
  <si>
    <t>1.14</t>
  </si>
  <si>
    <t>Болт М8х60</t>
  </si>
  <si>
    <t>ГОСТ 7798-70</t>
  </si>
  <si>
    <t>1.15</t>
  </si>
  <si>
    <t>Шайба М8</t>
  </si>
  <si>
    <t>CM120800</t>
  </si>
  <si>
    <t>1.16</t>
  </si>
  <si>
    <t>Гайка М8</t>
  </si>
  <si>
    <t>ГОСТ 5915-70</t>
  </si>
  <si>
    <t>1.17</t>
  </si>
  <si>
    <t>Винт с крестообразным шлицем М6х10</t>
  </si>
  <si>
    <t>CM010610</t>
  </si>
  <si>
    <t>1.18</t>
  </si>
  <si>
    <t>Гайка с насечкой, препятствующей откручиванию М6</t>
  </si>
  <si>
    <t>CM100600</t>
  </si>
  <si>
    <t>1.19</t>
  </si>
  <si>
    <t>Винт для электрического соединения М5х8</t>
  </si>
  <si>
    <t>CM030508</t>
  </si>
  <si>
    <t>Крышка на лоток с заземлением осн. 200 L3000, толщина 1,0мм</t>
  </si>
  <si>
    <t>3552410</t>
  </si>
  <si>
    <t>Крышка на угол CPO 90 горизонтальный 90° осн.200</t>
  </si>
  <si>
    <t>38004K</t>
  </si>
  <si>
    <t>1.7</t>
  </si>
  <si>
    <t>Крышка на угол CD 90 вертикальный внешний 90° осн.200</t>
  </si>
  <si>
    <t>38244К</t>
  </si>
  <si>
    <t>1.9</t>
  </si>
  <si>
    <t>Крышка на угол CS 90 вертикальный внутр. 90° осн.200</t>
  </si>
  <si>
    <t>38204K</t>
  </si>
  <si>
    <t>6</t>
  </si>
  <si>
    <t>8</t>
  </si>
  <si>
    <t>25</t>
  </si>
  <si>
    <t>АО "ДКС", Россия</t>
  </si>
  <si>
    <t>ООО "Ратибор", Россия</t>
  </si>
  <si>
    <t>ООО "ТД "ЭТМ", Россия</t>
  </si>
  <si>
    <t>ООО "Эвиденс", Россия</t>
  </si>
  <si>
    <t>АО "СПК", Россия</t>
  </si>
  <si>
    <t>ООО "ЗАВОД ГОРЭЛТЕХ", Россия</t>
  </si>
  <si>
    <t>АО "Хакель", Россия</t>
  </si>
  <si>
    <t>Huawei, Китай</t>
  </si>
  <si>
    <t>ООО "Си Ти Эс", Россия</t>
  </si>
  <si>
    <t>ООО "ЦМО", Россия</t>
  </si>
  <si>
    <t>ООО "Комтелэнерго", Россия</t>
  </si>
  <si>
    <t>ООО "Гиперлайн", Россия</t>
  </si>
  <si>
    <t>ЗАО "СвязьСтройДеталь", Россия</t>
  </si>
  <si>
    <t>1292</t>
  </si>
  <si>
    <t>ООО "ТПК" КАМА", Россия</t>
  </si>
  <si>
    <t>1194</t>
  </si>
  <si>
    <t>0</t>
  </si>
  <si>
    <t>Источник бесперебойного питания, 2000 ВА/1800 Вт</t>
  </si>
  <si>
    <t>SMALLR2A0PI</t>
  </si>
  <si>
    <t>Адаптер SNMP для ИБП</t>
  </si>
  <si>
    <t>SNMPSM2</t>
  </si>
  <si>
    <t>Внешний батарейный модуль, 6хАКБ, 9 Ач, DC 72 В</t>
  </si>
  <si>
    <t>BPSMLR2-72V</t>
  </si>
  <si>
    <t>Рельсы для ИБП</t>
  </si>
  <si>
    <t>RAILSMLR</t>
  </si>
  <si>
    <t>Стоечный переключатель нагрузки, 120-420 В, 16 А</t>
  </si>
  <si>
    <t>ATS-1204/16</t>
  </si>
  <si>
    <t>Блок розеток силовых с мониторингом, 230 В, 32 А</t>
  </si>
  <si>
    <t>R-2MC3-32-2S-3C13-440-K</t>
  </si>
  <si>
    <t>Блок силовых розеток, 230 В, 10 А, шнур 1,8 м C14</t>
  </si>
  <si>
    <t>R-10-8S-V-440-1.8</t>
  </si>
  <si>
    <t>Выключатель нагрузки, 2П, In=32 А</t>
  </si>
  <si>
    <t>332880</t>
  </si>
  <si>
    <t>Автоматический выключатель, 2П, In=16 А, хар. C</t>
  </si>
  <si>
    <t>293224</t>
  </si>
  <si>
    <t>Розетка OptiDin РА10/16-502Д 16А</t>
  </si>
  <si>
    <t>111493</t>
  </si>
  <si>
    <t>Панель с DIN-рейкой с регулируемой глубиной установки, 3U</t>
  </si>
  <si>
    <t>BPB19-PS-3U</t>
  </si>
  <si>
    <t>Шина PE "земля" в комбинированном DIN-изоляторе типа "Стойка", 14 подключений, 16 мм2 макс. сечение проводника</t>
  </si>
  <si>
    <t>YNN10-812-14DP-K05</t>
  </si>
  <si>
    <t>Ограничитель на DIN-рейку (пластик)</t>
  </si>
  <si>
    <t>Металлорукав DN 20мм в герм. ПВХ изоляции в оплетке из нержавеющей стали, Dвн 20,5 мм, Dнар 25,5</t>
  </si>
  <si>
    <t>6071TX-022</t>
  </si>
  <si>
    <t>2.2</t>
  </si>
  <si>
    <t>Зажим шлейфовый ЗКШ3 24/26-4 для кабеля диаметром 24,0-26,0 мм</t>
  </si>
  <si>
    <t>Э00020978</t>
  </si>
  <si>
    <t>2.3</t>
  </si>
  <si>
    <t xml:space="preserve">Лента монтажная F 20.7 </t>
  </si>
  <si>
    <t>2.4</t>
  </si>
  <si>
    <t>Кабель питания IEC320 C19 - IEC320 C20, 1,8 м, сечение 3х2,5 мм2</t>
  </si>
  <si>
    <t>R5CORD9018</t>
  </si>
  <si>
    <t>Кабель питания Sсhuko - IEC320 C19, 2 м, сечение 3х2,5 мм2</t>
  </si>
  <si>
    <t>R5CORDS920</t>
  </si>
  <si>
    <t>Вилка С20 разборная</t>
  </si>
  <si>
    <t>IEC-320-C20</t>
  </si>
  <si>
    <t>ПуГВнг(А)-LS 1х10</t>
  </si>
  <si>
    <t>Наконечник медный луженый сечение обжимаемой жилы 10 мм2, диаметр крепежного болта 6 мм</t>
  </si>
  <si>
    <t>ТМЛ 10-6-5</t>
  </si>
  <si>
    <t>Наконечник штыревой втулочный сечение обжимаемой жилы до 6 мм2</t>
  </si>
  <si>
    <t>79449</t>
  </si>
  <si>
    <t>3.12</t>
  </si>
  <si>
    <t>3.13</t>
  </si>
  <si>
    <t>- Болт М6х16</t>
  </si>
  <si>
    <t>DIN933-М6x16</t>
  </si>
  <si>
    <t>- Шайба М6</t>
  </si>
  <si>
    <t>CM120600HDZ</t>
  </si>
  <si>
    <t>- Гайка М6</t>
  </si>
  <si>
    <t>ООО "НАГ", Россия</t>
  </si>
  <si>
    <t>108</t>
  </si>
  <si>
    <t>АО "ЭССП", Россия</t>
  </si>
  <si>
    <t>34</t>
  </si>
  <si>
    <t>12</t>
  </si>
  <si>
    <t>19</t>
  </si>
  <si>
    <t>24</t>
  </si>
  <si>
    <t>Поставка</t>
  </si>
  <si>
    <t>Подярдчик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</si>
</sst>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9">
    <font>
      <sz val="11"/>
      <color theme="1"/>
      <name val="Aptos Narrow"/>
      <family val="2"/>
      <charset val="204"/>
      <scheme val="minor"/>
    </font>
    <font>
      <b/>
      <sz val="9"/>
      <color rgb="FF000000"/>
      <name val="Segoe UI"/>
      <family val="2"/>
      <charset val="204"/>
    </font>
    <font>
      <sz val="10"/>
      <name val="Arial"/>
      <family val="2"/>
      <charset val="204"/>
    </font>
    <font>
      <sz val="11"/>
      <color theme="1"/>
      <name val="Aptos Narrow"/>
      <family val="2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8"/>
      <name val="Aptos Narrow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0" borderId="0"/>
    <xf numFmtId="0" fontId="4" fillId="0" borderId="0"/>
    <xf numFmtId="43" fontId="5" fillId="0" borderId="0" applyFont="0" applyFill="0" applyBorder="0" applyAlignment="0" applyProtection="0"/>
  </cellStyleXfs>
  <cellXfs count="36">
    <xf numFmtId="0" fontId="0" fillId="0" borderId="0" xfId="0"/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quotePrefix="1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wrapText="1"/>
    </xf>
    <xf numFmtId="49" fontId="7" fillId="0" borderId="1" xfId="0" applyNumberFormat="1" applyFont="1" applyBorder="1" applyAlignment="1">
      <alignment horizontal="left" wrapText="1"/>
    </xf>
    <xf numFmtId="49" fontId="7" fillId="0" borderId="1" xfId="1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1" quotePrefix="1" applyNumberFormat="1" applyFont="1" applyBorder="1" applyAlignment="1">
      <alignment horizontal="left" vertical="center" wrapText="1"/>
    </xf>
    <xf numFmtId="49" fontId="7" fillId="0" borderId="1" xfId="1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49" fontId="7" fillId="0" borderId="1" xfId="1" quotePrefix="1" applyNumberFormat="1" applyFont="1" applyBorder="1" applyAlignment="1">
      <alignment vertical="center" wrapText="1"/>
    </xf>
    <xf numFmtId="49" fontId="7" fillId="0" borderId="1" xfId="1" applyNumberFormat="1" applyFont="1" applyBorder="1" applyAlignment="1">
      <alignment vertical="center" wrapText="1"/>
    </xf>
    <xf numFmtId="49" fontId="7" fillId="0" borderId="1" xfId="2" applyNumberFormat="1" applyFont="1" applyBorder="1" applyAlignment="1">
      <alignment horizontal="left" vertical="center" wrapText="1"/>
    </xf>
    <xf numFmtId="49" fontId="7" fillId="0" borderId="1" xfId="0" quotePrefix="1" applyNumberFormat="1" applyFont="1" applyBorder="1" applyAlignment="1">
      <alignment horizontal="left" vertical="center" wrapText="1"/>
    </xf>
    <xf numFmtId="49" fontId="2" fillId="0" borderId="1" xfId="0" quotePrefix="1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 wrapText="1"/>
    </xf>
    <xf numFmtId="49" fontId="7" fillId="0" borderId="1" xfId="0" quotePrefix="1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49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49" fontId="8" fillId="0" borderId="1" xfId="3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6">
    <cellStyle name="Обычный" xfId="0" builtinId="0"/>
    <cellStyle name="Обычный 2" xfId="1" xr:uid="{8CA1985A-8537-464F-AEBE-D5B4225B1D37}"/>
    <cellStyle name="Обычный 2 2" xfId="4" xr:uid="{C722830B-FD8A-4C1A-BDB2-E7CE32378906}"/>
    <cellStyle name="Обычный 3" xfId="2" xr:uid="{4120D92C-0FC6-4BAE-807E-6B96FFD5D429}"/>
    <cellStyle name="Обычный 5" xfId="3" xr:uid="{39007559-8906-42A3-AA0F-CEAD21E515DA}"/>
    <cellStyle name="Финансовый 10" xfId="5" xr:uid="{C65BD1F3-FC54-4141-BFE6-8BF25A6B6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27E1-F5F4-4D67-851B-99768F5EC1E6}">
  <dimension ref="A1:I129"/>
  <sheetViews>
    <sheetView tabSelected="1" topLeftCell="B126" zoomScale="89" zoomScaleNormal="89" workbookViewId="0">
      <selection activeCell="L133" sqref="L133"/>
    </sheetView>
  </sheetViews>
  <sheetFormatPr defaultRowHeight="14"/>
  <cols>
    <col min="1" max="1" width="5.5" customWidth="1"/>
    <col min="2" max="3" width="37.25" style="3" customWidth="1"/>
    <col min="4" max="4" width="18.75" style="3" customWidth="1"/>
    <col min="5" max="5" width="7.33203125" customWidth="1"/>
    <col min="6" max="6" width="7" customWidth="1"/>
    <col min="7" max="7" width="8.83203125" hidden="1" customWidth="1"/>
    <col min="8" max="8" width="3" customWidth="1"/>
    <col min="9" max="9" width="10.08203125" customWidth="1"/>
  </cols>
  <sheetData>
    <row r="1" spans="1:9" ht="36" customHeight="1">
      <c r="A1" s="35" t="s">
        <v>6</v>
      </c>
      <c r="B1" s="35"/>
      <c r="C1" s="35"/>
      <c r="D1" s="35"/>
      <c r="E1" s="35"/>
      <c r="F1" s="35"/>
      <c r="G1" s="35"/>
      <c r="H1" s="35"/>
      <c r="I1" s="35"/>
    </row>
    <row r="2" spans="1:9" ht="51.65" customHeight="1">
      <c r="A2" s="1" t="s">
        <v>0</v>
      </c>
      <c r="B2" s="2" t="s">
        <v>1</v>
      </c>
      <c r="C2" s="2" t="s">
        <v>7</v>
      </c>
      <c r="D2" s="2" t="s">
        <v>188</v>
      </c>
      <c r="E2" s="2" t="s">
        <v>2</v>
      </c>
      <c r="F2" s="2" t="s">
        <v>3</v>
      </c>
      <c r="G2" s="2" t="s">
        <v>186</v>
      </c>
      <c r="H2" s="2" t="s">
        <v>187</v>
      </c>
      <c r="I2" s="2" t="s">
        <v>318</v>
      </c>
    </row>
    <row r="3" spans="1:9">
      <c r="A3" s="4" t="s">
        <v>8</v>
      </c>
      <c r="B3" s="7" t="s">
        <v>189</v>
      </c>
      <c r="C3" s="8" t="s">
        <v>190</v>
      </c>
      <c r="D3" s="9" t="s">
        <v>243</v>
      </c>
      <c r="E3" s="8" t="s">
        <v>5</v>
      </c>
      <c r="F3" s="6" t="s">
        <v>175</v>
      </c>
      <c r="G3" s="10">
        <v>0</v>
      </c>
      <c r="H3" s="6" t="s">
        <v>175</v>
      </c>
      <c r="I3" s="6" t="s">
        <v>319</v>
      </c>
    </row>
    <row r="4" spans="1:9">
      <c r="A4" s="4" t="s">
        <v>18</v>
      </c>
      <c r="B4" s="7" t="s">
        <v>191</v>
      </c>
      <c r="C4" s="8" t="s">
        <v>192</v>
      </c>
      <c r="D4" s="9" t="s">
        <v>243</v>
      </c>
      <c r="E4" s="8" t="s">
        <v>5</v>
      </c>
      <c r="F4" s="6" t="s">
        <v>175</v>
      </c>
      <c r="G4" s="10">
        <v>0</v>
      </c>
      <c r="H4" s="6" t="s">
        <v>175</v>
      </c>
      <c r="I4" s="6" t="s">
        <v>319</v>
      </c>
    </row>
    <row r="5" spans="1:9">
      <c r="A5" s="4" t="s">
        <v>33</v>
      </c>
      <c r="B5" s="7" t="s">
        <v>193</v>
      </c>
      <c r="C5" s="8" t="s">
        <v>194</v>
      </c>
      <c r="D5" s="9" t="s">
        <v>243</v>
      </c>
      <c r="E5" s="8" t="s">
        <v>5</v>
      </c>
      <c r="F5" s="6" t="s">
        <v>178</v>
      </c>
      <c r="G5" s="10">
        <v>0</v>
      </c>
      <c r="H5" s="6" t="s">
        <v>178</v>
      </c>
      <c r="I5" s="6" t="s">
        <v>319</v>
      </c>
    </row>
    <row r="6" spans="1:9" ht="25">
      <c r="A6" s="4" t="s">
        <v>57</v>
      </c>
      <c r="B6" s="7" t="s">
        <v>195</v>
      </c>
      <c r="C6" s="8" t="s">
        <v>196</v>
      </c>
      <c r="D6" s="9" t="s">
        <v>243</v>
      </c>
      <c r="E6" s="8" t="s">
        <v>5</v>
      </c>
      <c r="F6" s="6" t="s">
        <v>176</v>
      </c>
      <c r="G6" s="10">
        <v>0</v>
      </c>
      <c r="H6" s="6" t="s">
        <v>176</v>
      </c>
      <c r="I6" s="6" t="s">
        <v>319</v>
      </c>
    </row>
    <row r="7" spans="1:9" ht="25">
      <c r="A7" s="4" t="s">
        <v>197</v>
      </c>
      <c r="B7" s="7" t="s">
        <v>198</v>
      </c>
      <c r="C7" s="8" t="s">
        <v>199</v>
      </c>
      <c r="D7" s="9" t="s">
        <v>243</v>
      </c>
      <c r="E7" s="8" t="s">
        <v>5</v>
      </c>
      <c r="F7" s="6" t="s">
        <v>178</v>
      </c>
      <c r="G7" s="10">
        <v>0</v>
      </c>
      <c r="H7" s="6" t="s">
        <v>178</v>
      </c>
      <c r="I7" s="6" t="s">
        <v>319</v>
      </c>
    </row>
    <row r="8" spans="1:9" ht="25">
      <c r="A8" s="4" t="s">
        <v>200</v>
      </c>
      <c r="B8" s="11" t="s">
        <v>201</v>
      </c>
      <c r="C8" s="8" t="s">
        <v>202</v>
      </c>
      <c r="D8" s="9" t="s">
        <v>243</v>
      </c>
      <c r="E8" s="8" t="s">
        <v>5</v>
      </c>
      <c r="F8" s="6" t="s">
        <v>182</v>
      </c>
      <c r="G8" s="10">
        <v>0</v>
      </c>
      <c r="H8" s="6" t="s">
        <v>182</v>
      </c>
      <c r="I8" s="6" t="s">
        <v>319</v>
      </c>
    </row>
    <row r="9" spans="1:9">
      <c r="A9" s="4" t="s">
        <v>203</v>
      </c>
      <c r="B9" s="11" t="s">
        <v>204</v>
      </c>
      <c r="C9" s="8" t="s">
        <v>205</v>
      </c>
      <c r="D9" s="9" t="s">
        <v>243</v>
      </c>
      <c r="E9" s="8" t="s">
        <v>5</v>
      </c>
      <c r="F9" s="6" t="s">
        <v>176</v>
      </c>
      <c r="G9" s="10">
        <v>0</v>
      </c>
      <c r="H9" s="6" t="s">
        <v>176</v>
      </c>
      <c r="I9" s="6" t="s">
        <v>319</v>
      </c>
    </row>
    <row r="10" spans="1:9">
      <c r="A10" s="4" t="s">
        <v>206</v>
      </c>
      <c r="B10" s="11" t="s">
        <v>207</v>
      </c>
      <c r="C10" s="8" t="s">
        <v>208</v>
      </c>
      <c r="D10" s="9" t="s">
        <v>243</v>
      </c>
      <c r="E10" s="8" t="s">
        <v>5</v>
      </c>
      <c r="F10" s="6" t="s">
        <v>178</v>
      </c>
      <c r="G10" s="10">
        <v>0</v>
      </c>
      <c r="H10" s="6" t="s">
        <v>178</v>
      </c>
      <c r="I10" s="6" t="s">
        <v>319</v>
      </c>
    </row>
    <row r="11" spans="1:9">
      <c r="A11" s="4" t="s">
        <v>209</v>
      </c>
      <c r="B11" s="11" t="s">
        <v>210</v>
      </c>
      <c r="C11" s="8" t="s">
        <v>211</v>
      </c>
      <c r="D11" s="9" t="s">
        <v>243</v>
      </c>
      <c r="E11" s="8" t="s">
        <v>5</v>
      </c>
      <c r="F11" s="6" t="s">
        <v>240</v>
      </c>
      <c r="G11" s="10">
        <v>0</v>
      </c>
      <c r="H11" s="6" t="s">
        <v>240</v>
      </c>
      <c r="I11" s="6" t="s">
        <v>319</v>
      </c>
    </row>
    <row r="12" spans="1:9" ht="25">
      <c r="A12" s="4" t="s">
        <v>212</v>
      </c>
      <c r="B12" s="11" t="s">
        <v>213</v>
      </c>
      <c r="C12" s="8" t="s">
        <v>214</v>
      </c>
      <c r="D12" s="8" t="s">
        <v>244</v>
      </c>
      <c r="E12" s="8" t="s">
        <v>5</v>
      </c>
      <c r="F12" s="6" t="s">
        <v>177</v>
      </c>
      <c r="G12" s="10">
        <v>0</v>
      </c>
      <c r="H12" s="6" t="s">
        <v>177</v>
      </c>
      <c r="I12" s="6" t="s">
        <v>319</v>
      </c>
    </row>
    <row r="13" spans="1:9" ht="25">
      <c r="A13" s="4" t="s">
        <v>215</v>
      </c>
      <c r="B13" s="11" t="s">
        <v>216</v>
      </c>
      <c r="C13" s="8" t="s">
        <v>217</v>
      </c>
      <c r="D13" s="8" t="s">
        <v>245</v>
      </c>
      <c r="E13" s="8" t="s">
        <v>5</v>
      </c>
      <c r="F13" s="6" t="s">
        <v>241</v>
      </c>
      <c r="G13" s="10">
        <v>0</v>
      </c>
      <c r="H13" s="6" t="s">
        <v>241</v>
      </c>
      <c r="I13" s="6" t="s">
        <v>319</v>
      </c>
    </row>
    <row r="14" spans="1:9" ht="25">
      <c r="A14" s="4" t="s">
        <v>218</v>
      </c>
      <c r="B14" s="11" t="s">
        <v>219</v>
      </c>
      <c r="C14" s="8" t="s">
        <v>220</v>
      </c>
      <c r="D14" s="8" t="s">
        <v>244</v>
      </c>
      <c r="E14" s="8" t="s">
        <v>5</v>
      </c>
      <c r="F14" s="6" t="s">
        <v>241</v>
      </c>
      <c r="G14" s="10">
        <v>0</v>
      </c>
      <c r="H14" s="6" t="s">
        <v>241</v>
      </c>
      <c r="I14" s="6" t="s">
        <v>319</v>
      </c>
    </row>
    <row r="15" spans="1:9">
      <c r="A15" s="4" t="s">
        <v>221</v>
      </c>
      <c r="B15" s="12" t="s">
        <v>222</v>
      </c>
      <c r="C15" s="13" t="s">
        <v>223</v>
      </c>
      <c r="D15" s="9" t="s">
        <v>243</v>
      </c>
      <c r="E15" s="8" t="s">
        <v>5</v>
      </c>
      <c r="F15" s="6" t="s">
        <v>242</v>
      </c>
      <c r="G15" s="10">
        <v>0</v>
      </c>
      <c r="H15" s="6" t="s">
        <v>242</v>
      </c>
      <c r="I15" s="6" t="s">
        <v>319</v>
      </c>
    </row>
    <row r="16" spans="1:9" ht="25.5">
      <c r="A16" s="4" t="s">
        <v>224</v>
      </c>
      <c r="B16" s="12" t="s">
        <v>225</v>
      </c>
      <c r="C16" s="12" t="s">
        <v>226</v>
      </c>
      <c r="D16" s="9" t="s">
        <v>243</v>
      </c>
      <c r="E16" s="8" t="s">
        <v>5</v>
      </c>
      <c r="F16" s="6" t="s">
        <v>242</v>
      </c>
      <c r="G16" s="10">
        <v>0</v>
      </c>
      <c r="H16" s="6" t="s">
        <v>242</v>
      </c>
      <c r="I16" s="6" t="s">
        <v>319</v>
      </c>
    </row>
    <row r="17" spans="1:9">
      <c r="A17" s="4" t="s">
        <v>227</v>
      </c>
      <c r="B17" s="12" t="s">
        <v>228</v>
      </c>
      <c r="C17" s="12" t="s">
        <v>229</v>
      </c>
      <c r="D17" s="9" t="s">
        <v>243</v>
      </c>
      <c r="E17" s="8" t="s">
        <v>5</v>
      </c>
      <c r="F17" s="6" t="s">
        <v>175</v>
      </c>
      <c r="G17" s="10">
        <v>0</v>
      </c>
      <c r="H17" s="6" t="s">
        <v>175</v>
      </c>
      <c r="I17" s="6" t="s">
        <v>319</v>
      </c>
    </row>
    <row r="18" spans="1:9" ht="25">
      <c r="A18" s="4" t="s">
        <v>11</v>
      </c>
      <c r="B18" s="7" t="s">
        <v>230</v>
      </c>
      <c r="C18" s="8" t="s">
        <v>231</v>
      </c>
      <c r="D18" s="9" t="s">
        <v>243</v>
      </c>
      <c r="E18" s="8" t="s">
        <v>5</v>
      </c>
      <c r="F18" s="6" t="s">
        <v>175</v>
      </c>
      <c r="G18" s="10">
        <v>0</v>
      </c>
      <c r="H18" s="6" t="s">
        <v>175</v>
      </c>
      <c r="I18" s="6" t="s">
        <v>319</v>
      </c>
    </row>
    <row r="19" spans="1:9" ht="25">
      <c r="A19" s="4" t="s">
        <v>54</v>
      </c>
      <c r="B19" s="7" t="s">
        <v>232</v>
      </c>
      <c r="C19" s="8" t="s">
        <v>233</v>
      </c>
      <c r="D19" s="9" t="s">
        <v>243</v>
      </c>
      <c r="E19" s="8" t="s">
        <v>5</v>
      </c>
      <c r="F19" s="6" t="s">
        <v>178</v>
      </c>
      <c r="G19" s="10">
        <v>0</v>
      </c>
      <c r="H19" s="6" t="s">
        <v>178</v>
      </c>
      <c r="I19" s="6" t="s">
        <v>319</v>
      </c>
    </row>
    <row r="20" spans="1:9" ht="25">
      <c r="A20" s="4" t="s">
        <v>234</v>
      </c>
      <c r="B20" s="7" t="s">
        <v>235</v>
      </c>
      <c r="C20" s="8" t="s">
        <v>236</v>
      </c>
      <c r="D20" s="9" t="s">
        <v>243</v>
      </c>
      <c r="E20" s="8" t="s">
        <v>5</v>
      </c>
      <c r="F20" s="6" t="s">
        <v>176</v>
      </c>
      <c r="G20" s="10">
        <v>0</v>
      </c>
      <c r="H20" s="6" t="s">
        <v>176</v>
      </c>
      <c r="I20" s="6" t="s">
        <v>319</v>
      </c>
    </row>
    <row r="21" spans="1:9" ht="25">
      <c r="A21" s="4" t="s">
        <v>237</v>
      </c>
      <c r="B21" s="7" t="s">
        <v>238</v>
      </c>
      <c r="C21" s="8" t="s">
        <v>239</v>
      </c>
      <c r="D21" s="9" t="s">
        <v>243</v>
      </c>
      <c r="E21" s="8" t="s">
        <v>5</v>
      </c>
      <c r="F21" s="6" t="s">
        <v>178</v>
      </c>
      <c r="G21" s="10">
        <v>0</v>
      </c>
      <c r="H21" s="6" t="s">
        <v>178</v>
      </c>
      <c r="I21" s="6" t="s">
        <v>319</v>
      </c>
    </row>
    <row r="22" spans="1:9" ht="50">
      <c r="A22" s="14" t="s">
        <v>8</v>
      </c>
      <c r="B22" s="14" t="s">
        <v>9</v>
      </c>
      <c r="C22" s="14" t="s">
        <v>10</v>
      </c>
      <c r="D22" s="15" t="s">
        <v>246</v>
      </c>
      <c r="E22" s="14" t="s">
        <v>5</v>
      </c>
      <c r="F22" s="27" t="s">
        <v>175</v>
      </c>
      <c r="G22" s="27" t="s">
        <v>175</v>
      </c>
      <c r="H22" s="5">
        <v>0</v>
      </c>
      <c r="I22" s="5" t="s">
        <v>186</v>
      </c>
    </row>
    <row r="23" spans="1:9">
      <c r="A23" s="14" t="s">
        <v>11</v>
      </c>
      <c r="B23" s="14" t="s">
        <v>12</v>
      </c>
      <c r="C23" s="14" t="s">
        <v>13</v>
      </c>
      <c r="D23" s="14" t="s">
        <v>247</v>
      </c>
      <c r="E23" s="14" t="s">
        <v>4</v>
      </c>
      <c r="F23" s="27" t="s">
        <v>176</v>
      </c>
      <c r="G23" s="10">
        <v>0</v>
      </c>
      <c r="H23" s="27" t="s">
        <v>176</v>
      </c>
      <c r="I23" s="6" t="s">
        <v>319</v>
      </c>
    </row>
    <row r="24" spans="1:9" ht="25">
      <c r="A24" s="14" t="s">
        <v>11</v>
      </c>
      <c r="B24" s="14" t="s">
        <v>14</v>
      </c>
      <c r="C24" s="14" t="s">
        <v>15</v>
      </c>
      <c r="D24" s="8" t="s">
        <v>245</v>
      </c>
      <c r="E24" s="14" t="s">
        <v>5</v>
      </c>
      <c r="F24" s="27" t="s">
        <v>176</v>
      </c>
      <c r="G24" s="10">
        <v>0</v>
      </c>
      <c r="H24" s="27" t="s">
        <v>176</v>
      </c>
      <c r="I24" s="6" t="s">
        <v>319</v>
      </c>
    </row>
    <row r="25" spans="1:9">
      <c r="A25" s="14" t="s">
        <v>11</v>
      </c>
      <c r="B25" s="14" t="s">
        <v>16</v>
      </c>
      <c r="C25" s="14" t="s">
        <v>17</v>
      </c>
      <c r="D25" s="14" t="s">
        <v>243</v>
      </c>
      <c r="E25" s="14" t="s">
        <v>5</v>
      </c>
      <c r="F25" s="27" t="s">
        <v>177</v>
      </c>
      <c r="G25" s="10">
        <v>0</v>
      </c>
      <c r="H25" s="27" t="s">
        <v>177</v>
      </c>
      <c r="I25" s="6" t="s">
        <v>319</v>
      </c>
    </row>
    <row r="26" spans="1:9">
      <c r="A26" s="14" t="s">
        <v>18</v>
      </c>
      <c r="B26" s="16" t="s">
        <v>19</v>
      </c>
      <c r="C26" s="14" t="s">
        <v>20</v>
      </c>
      <c r="D26" s="14" t="s">
        <v>243</v>
      </c>
      <c r="E26" s="14" t="s">
        <v>5</v>
      </c>
      <c r="F26" s="28">
        <f>4*4</f>
        <v>16</v>
      </c>
      <c r="G26" s="10">
        <v>0</v>
      </c>
      <c r="H26" s="28">
        <f>4*4</f>
        <v>16</v>
      </c>
      <c r="I26" s="6" t="s">
        <v>319</v>
      </c>
    </row>
    <row r="27" spans="1:9">
      <c r="A27" s="14" t="s">
        <v>18</v>
      </c>
      <c r="B27" s="16" t="s">
        <v>21</v>
      </c>
      <c r="C27" s="14" t="s">
        <v>22</v>
      </c>
      <c r="D27" s="14" t="s">
        <v>243</v>
      </c>
      <c r="E27" s="14" t="s">
        <v>5</v>
      </c>
      <c r="F27" s="28">
        <f t="shared" ref="F27:H28" si="0">4*4</f>
        <v>16</v>
      </c>
      <c r="G27" s="10">
        <v>0</v>
      </c>
      <c r="H27" s="28">
        <f t="shared" si="0"/>
        <v>16</v>
      </c>
      <c r="I27" s="6" t="s">
        <v>319</v>
      </c>
    </row>
    <row r="28" spans="1:9">
      <c r="A28" s="14" t="s">
        <v>18</v>
      </c>
      <c r="B28" s="16" t="s">
        <v>23</v>
      </c>
      <c r="C28" s="14" t="s">
        <v>24</v>
      </c>
      <c r="D28" s="14" t="s">
        <v>243</v>
      </c>
      <c r="E28" s="14" t="s">
        <v>5</v>
      </c>
      <c r="F28" s="28">
        <f t="shared" si="0"/>
        <v>16</v>
      </c>
      <c r="G28" s="10">
        <v>0</v>
      </c>
      <c r="H28" s="28">
        <f t="shared" si="0"/>
        <v>16</v>
      </c>
      <c r="I28" s="6" t="s">
        <v>319</v>
      </c>
    </row>
    <row r="29" spans="1:9">
      <c r="A29" s="14" t="s">
        <v>18</v>
      </c>
      <c r="B29" s="16" t="s">
        <v>25</v>
      </c>
      <c r="C29" s="14" t="s">
        <v>26</v>
      </c>
      <c r="D29" s="14" t="s">
        <v>243</v>
      </c>
      <c r="E29" s="14" t="s">
        <v>5</v>
      </c>
      <c r="F29" s="28">
        <f>8*4</f>
        <v>32</v>
      </c>
      <c r="G29" s="10">
        <v>0</v>
      </c>
      <c r="H29" s="28">
        <f>8*4</f>
        <v>32</v>
      </c>
      <c r="I29" s="6" t="s">
        <v>319</v>
      </c>
    </row>
    <row r="30" spans="1:9">
      <c r="A30" s="14" t="s">
        <v>18</v>
      </c>
      <c r="B30" s="16" t="s">
        <v>27</v>
      </c>
      <c r="C30" s="14" t="s">
        <v>28</v>
      </c>
      <c r="D30" s="14" t="s">
        <v>243</v>
      </c>
      <c r="E30" s="14" t="s">
        <v>5</v>
      </c>
      <c r="F30" s="28">
        <f t="shared" ref="F30:H31" si="1">8*4</f>
        <v>32</v>
      </c>
      <c r="G30" s="10">
        <v>0</v>
      </c>
      <c r="H30" s="28">
        <f t="shared" si="1"/>
        <v>32</v>
      </c>
      <c r="I30" s="6" t="s">
        <v>319</v>
      </c>
    </row>
    <row r="31" spans="1:9">
      <c r="A31" s="14" t="s">
        <v>18</v>
      </c>
      <c r="B31" s="16" t="s">
        <v>29</v>
      </c>
      <c r="C31" s="14" t="s">
        <v>30</v>
      </c>
      <c r="D31" s="14" t="s">
        <v>243</v>
      </c>
      <c r="E31" s="14" t="s">
        <v>5</v>
      </c>
      <c r="F31" s="28">
        <f t="shared" si="1"/>
        <v>32</v>
      </c>
      <c r="G31" s="10">
        <v>0</v>
      </c>
      <c r="H31" s="28">
        <f t="shared" si="1"/>
        <v>32</v>
      </c>
      <c r="I31" s="6" t="s">
        <v>319</v>
      </c>
    </row>
    <row r="32" spans="1:9">
      <c r="A32" s="14" t="s">
        <v>18</v>
      </c>
      <c r="B32" s="16" t="s">
        <v>31</v>
      </c>
      <c r="C32" s="14" t="s">
        <v>32</v>
      </c>
      <c r="D32" s="14" t="s">
        <v>243</v>
      </c>
      <c r="E32" s="14" t="s">
        <v>5</v>
      </c>
      <c r="F32" s="28">
        <f>4*4</f>
        <v>16</v>
      </c>
      <c r="G32" s="10">
        <v>0</v>
      </c>
      <c r="H32" s="28">
        <f>4*4</f>
        <v>16</v>
      </c>
      <c r="I32" s="6" t="s">
        <v>319</v>
      </c>
    </row>
    <row r="33" spans="1:9" ht="250">
      <c r="A33" s="14" t="s">
        <v>33</v>
      </c>
      <c r="B33" s="8" t="s">
        <v>34</v>
      </c>
      <c r="C33" s="17" t="s">
        <v>35</v>
      </c>
      <c r="D33" s="14" t="s">
        <v>248</v>
      </c>
      <c r="E33" s="14" t="s">
        <v>5</v>
      </c>
      <c r="F33" s="28">
        <f>5*1</f>
        <v>5</v>
      </c>
      <c r="G33" s="10">
        <v>5</v>
      </c>
      <c r="H33" s="28">
        <v>0</v>
      </c>
      <c r="I33" s="6" t="s">
        <v>186</v>
      </c>
    </row>
    <row r="34" spans="1:9" ht="25">
      <c r="A34" s="14" t="s">
        <v>33</v>
      </c>
      <c r="B34" s="14" t="s">
        <v>36</v>
      </c>
      <c r="C34" s="14" t="s">
        <v>37</v>
      </c>
      <c r="D34" s="8" t="s">
        <v>245</v>
      </c>
      <c r="E34" s="14" t="s">
        <v>5</v>
      </c>
      <c r="F34" s="28">
        <f t="shared" ref="F34:H38" si="2">5*1</f>
        <v>5</v>
      </c>
      <c r="G34" s="6" t="s">
        <v>259</v>
      </c>
      <c r="H34" s="28">
        <f t="shared" si="2"/>
        <v>5</v>
      </c>
      <c r="I34" s="6" t="s">
        <v>319</v>
      </c>
    </row>
    <row r="35" spans="1:9" ht="37.5">
      <c r="A35" s="14" t="s">
        <v>33</v>
      </c>
      <c r="B35" s="14" t="s">
        <v>38</v>
      </c>
      <c r="C35" s="14" t="s">
        <v>39</v>
      </c>
      <c r="D35" s="8" t="s">
        <v>245</v>
      </c>
      <c r="E35" s="8" t="s">
        <v>5</v>
      </c>
      <c r="F35" s="28">
        <f t="shared" si="2"/>
        <v>5</v>
      </c>
      <c r="G35" s="6" t="s">
        <v>259</v>
      </c>
      <c r="H35" s="28">
        <f t="shared" si="2"/>
        <v>5</v>
      </c>
      <c r="I35" s="6" t="s">
        <v>319</v>
      </c>
    </row>
    <row r="36" spans="1:9" ht="25">
      <c r="A36" s="14" t="s">
        <v>33</v>
      </c>
      <c r="B36" s="16" t="s">
        <v>40</v>
      </c>
      <c r="C36" s="14" t="s">
        <v>41</v>
      </c>
      <c r="D36" s="8" t="s">
        <v>245</v>
      </c>
      <c r="E36" s="14" t="s">
        <v>5</v>
      </c>
      <c r="F36" s="28">
        <f t="shared" si="2"/>
        <v>5</v>
      </c>
      <c r="G36" s="6" t="s">
        <v>259</v>
      </c>
      <c r="H36" s="28">
        <f t="shared" si="2"/>
        <v>5</v>
      </c>
      <c r="I36" s="6" t="s">
        <v>319</v>
      </c>
    </row>
    <row r="37" spans="1:9" ht="25">
      <c r="A37" s="14" t="s">
        <v>33</v>
      </c>
      <c r="B37" s="16" t="s">
        <v>42</v>
      </c>
      <c r="C37" s="14" t="s">
        <v>43</v>
      </c>
      <c r="D37" s="8" t="s">
        <v>249</v>
      </c>
      <c r="E37" s="14" t="s">
        <v>5</v>
      </c>
      <c r="F37" s="28">
        <f t="shared" si="2"/>
        <v>5</v>
      </c>
      <c r="G37" s="6" t="s">
        <v>259</v>
      </c>
      <c r="H37" s="28">
        <f t="shared" si="2"/>
        <v>5</v>
      </c>
      <c r="I37" s="6" t="s">
        <v>319</v>
      </c>
    </row>
    <row r="38" spans="1:9" ht="25">
      <c r="A38" s="14" t="s">
        <v>33</v>
      </c>
      <c r="B38" s="14" t="s">
        <v>44</v>
      </c>
      <c r="C38" s="14" t="s">
        <v>45</v>
      </c>
      <c r="D38" s="8" t="s">
        <v>245</v>
      </c>
      <c r="E38" s="14" t="s">
        <v>5</v>
      </c>
      <c r="F38" s="28">
        <f t="shared" si="2"/>
        <v>5</v>
      </c>
      <c r="G38" s="6" t="s">
        <v>259</v>
      </c>
      <c r="H38" s="28">
        <f t="shared" si="2"/>
        <v>5</v>
      </c>
      <c r="I38" s="6" t="s">
        <v>319</v>
      </c>
    </row>
    <row r="39" spans="1:9" ht="25">
      <c r="A39" s="14" t="s">
        <v>33</v>
      </c>
      <c r="B39" s="7" t="s">
        <v>46</v>
      </c>
      <c r="C39" s="8" t="s">
        <v>47</v>
      </c>
      <c r="D39" s="8" t="s">
        <v>245</v>
      </c>
      <c r="E39" s="8" t="s">
        <v>5</v>
      </c>
      <c r="F39" s="5">
        <f>5*4</f>
        <v>20</v>
      </c>
      <c r="G39" s="6" t="s">
        <v>259</v>
      </c>
      <c r="H39" s="5">
        <f>5*4</f>
        <v>20</v>
      </c>
      <c r="I39" s="6" t="s">
        <v>319</v>
      </c>
    </row>
    <row r="40" spans="1:9" ht="25">
      <c r="A40" s="14" t="s">
        <v>33</v>
      </c>
      <c r="B40" s="7" t="s">
        <v>48</v>
      </c>
      <c r="C40" s="8" t="s">
        <v>49</v>
      </c>
      <c r="D40" s="8" t="s">
        <v>245</v>
      </c>
      <c r="E40" s="8" t="s">
        <v>5</v>
      </c>
      <c r="F40" s="5">
        <f>5*4</f>
        <v>20</v>
      </c>
      <c r="G40" s="6" t="s">
        <v>259</v>
      </c>
      <c r="H40" s="5">
        <f>5*4</f>
        <v>20</v>
      </c>
      <c r="I40" s="6" t="s">
        <v>319</v>
      </c>
    </row>
    <row r="41" spans="1:9" ht="25">
      <c r="A41" s="14" t="s">
        <v>33</v>
      </c>
      <c r="B41" s="7" t="s">
        <v>50</v>
      </c>
      <c r="C41" s="8" t="s">
        <v>51</v>
      </c>
      <c r="D41" s="8" t="s">
        <v>245</v>
      </c>
      <c r="E41" s="14" t="s">
        <v>5</v>
      </c>
      <c r="F41" s="5">
        <f>5*2</f>
        <v>10</v>
      </c>
      <c r="G41" s="6" t="s">
        <v>259</v>
      </c>
      <c r="H41" s="5">
        <f>5*2</f>
        <v>10</v>
      </c>
      <c r="I41" s="6" t="s">
        <v>319</v>
      </c>
    </row>
    <row r="42" spans="1:9" ht="25">
      <c r="A42" s="14" t="s">
        <v>33</v>
      </c>
      <c r="B42" s="7" t="s">
        <v>52</v>
      </c>
      <c r="C42" s="8" t="s">
        <v>53</v>
      </c>
      <c r="D42" s="8" t="s">
        <v>245</v>
      </c>
      <c r="E42" s="8" t="s">
        <v>5</v>
      </c>
      <c r="F42" s="5">
        <f>5*4</f>
        <v>20</v>
      </c>
      <c r="G42" s="6" t="s">
        <v>259</v>
      </c>
      <c r="H42" s="5">
        <f>5*4</f>
        <v>20</v>
      </c>
      <c r="I42" s="6" t="s">
        <v>319</v>
      </c>
    </row>
    <row r="43" spans="1:9">
      <c r="A43" s="14" t="s">
        <v>54</v>
      </c>
      <c r="B43" s="16" t="s">
        <v>55</v>
      </c>
      <c r="C43" s="14" t="s">
        <v>56</v>
      </c>
      <c r="D43" s="8" t="s">
        <v>243</v>
      </c>
      <c r="E43" s="14" t="s">
        <v>5</v>
      </c>
      <c r="F43" s="28">
        <f>4*1</f>
        <v>4</v>
      </c>
      <c r="G43" s="6" t="s">
        <v>259</v>
      </c>
      <c r="H43" s="28">
        <f>4*1</f>
        <v>4</v>
      </c>
      <c r="I43" s="6" t="s">
        <v>319</v>
      </c>
    </row>
    <row r="44" spans="1:9">
      <c r="A44" s="14" t="s">
        <v>57</v>
      </c>
      <c r="B44" s="16" t="s">
        <v>19</v>
      </c>
      <c r="C44" s="14" t="s">
        <v>20</v>
      </c>
      <c r="D44" s="14" t="s">
        <v>243</v>
      </c>
      <c r="E44" s="14" t="s">
        <v>5</v>
      </c>
      <c r="F44" s="28">
        <f>4*4</f>
        <v>16</v>
      </c>
      <c r="G44" s="6" t="s">
        <v>259</v>
      </c>
      <c r="H44" s="28">
        <f>4*4</f>
        <v>16</v>
      </c>
      <c r="I44" s="6" t="s">
        <v>319</v>
      </c>
    </row>
    <row r="45" spans="1:9">
      <c r="A45" s="14" t="s">
        <v>57</v>
      </c>
      <c r="B45" s="16" t="s">
        <v>27</v>
      </c>
      <c r="C45" s="14" t="s">
        <v>28</v>
      </c>
      <c r="D45" s="14" t="s">
        <v>243</v>
      </c>
      <c r="E45" s="14" t="s">
        <v>5</v>
      </c>
      <c r="F45" s="28">
        <f>4*8</f>
        <v>32</v>
      </c>
      <c r="G45" s="6" t="s">
        <v>259</v>
      </c>
      <c r="H45" s="28">
        <f>4*8</f>
        <v>32</v>
      </c>
      <c r="I45" s="6" t="s">
        <v>319</v>
      </c>
    </row>
    <row r="46" spans="1:9">
      <c r="A46" s="14" t="s">
        <v>57</v>
      </c>
      <c r="B46" s="16" t="s">
        <v>29</v>
      </c>
      <c r="C46" s="14" t="s">
        <v>30</v>
      </c>
      <c r="D46" s="14" t="s">
        <v>243</v>
      </c>
      <c r="E46" s="14" t="s">
        <v>5</v>
      </c>
      <c r="F46" s="28">
        <f>4*8</f>
        <v>32</v>
      </c>
      <c r="G46" s="6" t="s">
        <v>259</v>
      </c>
      <c r="H46" s="28">
        <f>4*8</f>
        <v>32</v>
      </c>
      <c r="I46" s="6" t="s">
        <v>319</v>
      </c>
    </row>
    <row r="47" spans="1:9">
      <c r="A47" s="14" t="s">
        <v>57</v>
      </c>
      <c r="B47" s="16" t="s">
        <v>31</v>
      </c>
      <c r="C47" s="14" t="s">
        <v>32</v>
      </c>
      <c r="D47" s="14" t="s">
        <v>243</v>
      </c>
      <c r="E47" s="14" t="s">
        <v>5</v>
      </c>
      <c r="F47" s="28">
        <f>4*4</f>
        <v>16</v>
      </c>
      <c r="G47" s="6" t="s">
        <v>259</v>
      </c>
      <c r="H47" s="28">
        <f>4*4</f>
        <v>16</v>
      </c>
      <c r="I47" s="6" t="s">
        <v>319</v>
      </c>
    </row>
    <row r="48" spans="1:9">
      <c r="A48" s="14" t="s">
        <v>57</v>
      </c>
      <c r="B48" s="16" t="s">
        <v>58</v>
      </c>
      <c r="C48" s="14" t="s">
        <v>59</v>
      </c>
      <c r="D48" s="14" t="s">
        <v>243</v>
      </c>
      <c r="E48" s="14" t="s">
        <v>5</v>
      </c>
      <c r="F48" s="28">
        <f>4*4</f>
        <v>16</v>
      </c>
      <c r="G48" s="6" t="s">
        <v>259</v>
      </c>
      <c r="H48" s="28">
        <f>4*4</f>
        <v>16</v>
      </c>
      <c r="I48" s="6" t="s">
        <v>319</v>
      </c>
    </row>
    <row r="49" spans="1:9">
      <c r="A49" s="14" t="s">
        <v>57</v>
      </c>
      <c r="B49" s="16" t="s">
        <v>23</v>
      </c>
      <c r="C49" s="14" t="s">
        <v>24</v>
      </c>
      <c r="D49" s="14" t="s">
        <v>243</v>
      </c>
      <c r="E49" s="14" t="s">
        <v>5</v>
      </c>
      <c r="F49" s="28">
        <f>4*4</f>
        <v>16</v>
      </c>
      <c r="G49" s="6" t="s">
        <v>259</v>
      </c>
      <c r="H49" s="28">
        <f>4*4</f>
        <v>16</v>
      </c>
      <c r="I49" s="6" t="s">
        <v>319</v>
      </c>
    </row>
    <row r="50" spans="1:9">
      <c r="A50" s="14" t="s">
        <v>57</v>
      </c>
      <c r="B50" s="16" t="s">
        <v>60</v>
      </c>
      <c r="C50" s="14" t="s">
        <v>61</v>
      </c>
      <c r="D50" s="14" t="s">
        <v>243</v>
      </c>
      <c r="E50" s="14" t="s">
        <v>5</v>
      </c>
      <c r="F50" s="28">
        <f>4*8</f>
        <v>32</v>
      </c>
      <c r="G50" s="6" t="s">
        <v>259</v>
      </c>
      <c r="H50" s="28">
        <f>4*8</f>
        <v>32</v>
      </c>
      <c r="I50" s="6" t="s">
        <v>319</v>
      </c>
    </row>
    <row r="51" spans="1:9" ht="25">
      <c r="A51" s="14" t="s">
        <v>62</v>
      </c>
      <c r="B51" s="7" t="s">
        <v>63</v>
      </c>
      <c r="C51" s="11" t="s">
        <v>64</v>
      </c>
      <c r="D51" s="8" t="s">
        <v>250</v>
      </c>
      <c r="E51" s="8" t="s">
        <v>5</v>
      </c>
      <c r="F51" s="6" t="s">
        <v>176</v>
      </c>
      <c r="G51" s="6" t="s">
        <v>176</v>
      </c>
      <c r="H51" s="5">
        <v>0</v>
      </c>
      <c r="I51" s="5" t="s">
        <v>186</v>
      </c>
    </row>
    <row r="52" spans="1:9">
      <c r="A52" s="14" t="s">
        <v>62</v>
      </c>
      <c r="B52" s="7" t="s">
        <v>65</v>
      </c>
      <c r="C52" s="8" t="s">
        <v>66</v>
      </c>
      <c r="D52" s="8" t="s">
        <v>250</v>
      </c>
      <c r="E52" s="8" t="s">
        <v>5</v>
      </c>
      <c r="F52" s="29">
        <v>2</v>
      </c>
      <c r="G52" s="29">
        <v>2</v>
      </c>
      <c r="H52" s="5">
        <v>0</v>
      </c>
      <c r="I52" s="5" t="s">
        <v>186</v>
      </c>
    </row>
    <row r="53" spans="1:9">
      <c r="A53" s="14" t="s">
        <v>62</v>
      </c>
      <c r="B53" s="7" t="s">
        <v>67</v>
      </c>
      <c r="C53" s="11"/>
      <c r="D53" s="8" t="s">
        <v>250</v>
      </c>
      <c r="E53" s="8" t="s">
        <v>5</v>
      </c>
      <c r="F53" s="6" t="s">
        <v>176</v>
      </c>
      <c r="G53" s="6" t="s">
        <v>176</v>
      </c>
      <c r="H53" s="5">
        <v>0</v>
      </c>
      <c r="I53" s="5" t="s">
        <v>186</v>
      </c>
    </row>
    <row r="54" spans="1:9" ht="37.5">
      <c r="A54" s="14" t="s">
        <v>62</v>
      </c>
      <c r="B54" s="19" t="s">
        <v>68</v>
      </c>
      <c r="C54" s="20" t="s">
        <v>69</v>
      </c>
      <c r="D54" s="8" t="s">
        <v>251</v>
      </c>
      <c r="E54" s="8" t="s">
        <v>5</v>
      </c>
      <c r="F54" s="6" t="s">
        <v>178</v>
      </c>
      <c r="G54" s="6" t="s">
        <v>178</v>
      </c>
      <c r="H54" s="5">
        <v>0</v>
      </c>
      <c r="I54" s="5" t="s">
        <v>186</v>
      </c>
    </row>
    <row r="55" spans="1:9" ht="37.5">
      <c r="A55" s="14" t="s">
        <v>62</v>
      </c>
      <c r="B55" s="19" t="s">
        <v>70</v>
      </c>
      <c r="C55" s="20" t="s">
        <v>71</v>
      </c>
      <c r="D55" s="8" t="s">
        <v>251</v>
      </c>
      <c r="E55" s="8" t="s">
        <v>5</v>
      </c>
      <c r="F55" s="6" t="s">
        <v>178</v>
      </c>
      <c r="G55" s="6" t="s">
        <v>178</v>
      </c>
      <c r="H55" s="5">
        <v>0</v>
      </c>
      <c r="I55" s="5" t="s">
        <v>186</v>
      </c>
    </row>
    <row r="56" spans="1:9" ht="25">
      <c r="A56" s="14" t="s">
        <v>62</v>
      </c>
      <c r="B56" s="19" t="s">
        <v>72</v>
      </c>
      <c r="C56" s="20" t="s">
        <v>73</v>
      </c>
      <c r="D56" s="8" t="s">
        <v>251</v>
      </c>
      <c r="E56" s="8" t="s">
        <v>5</v>
      </c>
      <c r="F56" s="6" t="s">
        <v>179</v>
      </c>
      <c r="G56" s="6" t="s">
        <v>179</v>
      </c>
      <c r="H56" s="5">
        <v>0</v>
      </c>
      <c r="I56" s="5" t="s">
        <v>186</v>
      </c>
    </row>
    <row r="57" spans="1:9" ht="25">
      <c r="A57" s="14" t="s">
        <v>62</v>
      </c>
      <c r="B57" s="19" t="s">
        <v>74</v>
      </c>
      <c r="C57" s="20" t="s">
        <v>75</v>
      </c>
      <c r="D57" s="8" t="s">
        <v>251</v>
      </c>
      <c r="E57" s="8" t="s">
        <v>5</v>
      </c>
      <c r="F57" s="6">
        <f>7</f>
        <v>7</v>
      </c>
      <c r="G57" s="6">
        <f>7</f>
        <v>7</v>
      </c>
      <c r="H57" s="5">
        <v>0</v>
      </c>
      <c r="I57" s="5" t="s">
        <v>186</v>
      </c>
    </row>
    <row r="58" spans="1:9" ht="37.5">
      <c r="A58" s="14" t="s">
        <v>62</v>
      </c>
      <c r="B58" s="19" t="s">
        <v>76</v>
      </c>
      <c r="C58" s="20" t="s">
        <v>77</v>
      </c>
      <c r="D58" s="8" t="s">
        <v>251</v>
      </c>
      <c r="E58" s="8" t="s">
        <v>5</v>
      </c>
      <c r="F58" s="6" t="s">
        <v>175</v>
      </c>
      <c r="G58" s="6" t="s">
        <v>175</v>
      </c>
      <c r="H58" s="5">
        <v>0</v>
      </c>
      <c r="I58" s="5" t="s">
        <v>186</v>
      </c>
    </row>
    <row r="59" spans="1:9" ht="25">
      <c r="A59" s="14" t="s">
        <v>62</v>
      </c>
      <c r="B59" s="19" t="s">
        <v>78</v>
      </c>
      <c r="C59" s="20" t="s">
        <v>79</v>
      </c>
      <c r="D59" s="8" t="s">
        <v>251</v>
      </c>
      <c r="E59" s="8" t="s">
        <v>5</v>
      </c>
      <c r="F59" s="6">
        <v>10</v>
      </c>
      <c r="G59" s="6">
        <v>10</v>
      </c>
      <c r="H59" s="5">
        <v>0</v>
      </c>
      <c r="I59" s="5" t="s">
        <v>186</v>
      </c>
    </row>
    <row r="60" spans="1:9" ht="25">
      <c r="A60" s="14" t="s">
        <v>62</v>
      </c>
      <c r="B60" s="16" t="s">
        <v>42</v>
      </c>
      <c r="C60" s="14" t="s">
        <v>43</v>
      </c>
      <c r="D60" s="8" t="s">
        <v>249</v>
      </c>
      <c r="E60" s="14" t="s">
        <v>5</v>
      </c>
      <c r="F60" s="27" t="s">
        <v>176</v>
      </c>
      <c r="G60" s="10">
        <v>0</v>
      </c>
      <c r="H60" s="27" t="s">
        <v>176</v>
      </c>
      <c r="I60" s="6" t="s">
        <v>319</v>
      </c>
    </row>
    <row r="61" spans="1:9" ht="25">
      <c r="A61" s="14" t="s">
        <v>62</v>
      </c>
      <c r="B61" s="19" t="s">
        <v>80</v>
      </c>
      <c r="C61" s="20" t="s">
        <v>81</v>
      </c>
      <c r="D61" s="8" t="s">
        <v>245</v>
      </c>
      <c r="E61" s="14" t="s">
        <v>5</v>
      </c>
      <c r="F61" s="27" t="s">
        <v>175</v>
      </c>
      <c r="G61" s="10">
        <v>0</v>
      </c>
      <c r="H61" s="27" t="s">
        <v>175</v>
      </c>
      <c r="I61" s="6" t="s">
        <v>319</v>
      </c>
    </row>
    <row r="62" spans="1:9" ht="37.5">
      <c r="A62" s="14" t="s">
        <v>62</v>
      </c>
      <c r="B62" s="7" t="s">
        <v>82</v>
      </c>
      <c r="C62" s="11" t="s">
        <v>83</v>
      </c>
      <c r="D62" s="8" t="s">
        <v>245</v>
      </c>
      <c r="E62" s="11" t="s">
        <v>180</v>
      </c>
      <c r="F62" s="6">
        <v>1</v>
      </c>
      <c r="G62" s="10">
        <v>0</v>
      </c>
      <c r="H62" s="6">
        <v>1</v>
      </c>
      <c r="I62" s="6" t="s">
        <v>319</v>
      </c>
    </row>
    <row r="63" spans="1:9" ht="25">
      <c r="A63" s="14" t="s">
        <v>62</v>
      </c>
      <c r="B63" s="7" t="s">
        <v>84</v>
      </c>
      <c r="C63" s="8" t="s">
        <v>85</v>
      </c>
      <c r="D63" s="8" t="s">
        <v>245</v>
      </c>
      <c r="E63" s="14" t="s">
        <v>5</v>
      </c>
      <c r="F63" s="27" t="s">
        <v>176</v>
      </c>
      <c r="G63" s="10">
        <v>0</v>
      </c>
      <c r="H63" s="27" t="s">
        <v>176</v>
      </c>
      <c r="I63" s="6" t="s">
        <v>319</v>
      </c>
    </row>
    <row r="64" spans="1:9">
      <c r="A64" s="14" t="s">
        <v>62</v>
      </c>
      <c r="B64" s="7" t="s">
        <v>86</v>
      </c>
      <c r="C64" s="11" t="s">
        <v>87</v>
      </c>
      <c r="D64" s="15" t="s">
        <v>252</v>
      </c>
      <c r="E64" s="21" t="s">
        <v>5</v>
      </c>
      <c r="F64" s="30" t="s">
        <v>176</v>
      </c>
      <c r="G64" s="10">
        <v>0</v>
      </c>
      <c r="H64" s="30" t="s">
        <v>176</v>
      </c>
      <c r="I64" s="6" t="s">
        <v>319</v>
      </c>
    </row>
    <row r="65" spans="1:9" ht="37.5">
      <c r="A65" s="14" t="s">
        <v>62</v>
      </c>
      <c r="B65" s="22" t="s">
        <v>88</v>
      </c>
      <c r="C65" s="15" t="s">
        <v>89</v>
      </c>
      <c r="D65" s="8" t="s">
        <v>245</v>
      </c>
      <c r="E65" s="15" t="s">
        <v>5</v>
      </c>
      <c r="F65" s="29" t="s">
        <v>176</v>
      </c>
      <c r="G65" s="10">
        <v>0</v>
      </c>
      <c r="H65" s="29" t="s">
        <v>176</v>
      </c>
      <c r="I65" s="6" t="s">
        <v>319</v>
      </c>
    </row>
    <row r="66" spans="1:9" ht="25">
      <c r="A66" s="14" t="s">
        <v>62</v>
      </c>
      <c r="B66" s="7" t="s">
        <v>50</v>
      </c>
      <c r="C66" s="8" t="s">
        <v>51</v>
      </c>
      <c r="D66" s="8" t="s">
        <v>245</v>
      </c>
      <c r="E66" s="14" t="s">
        <v>5</v>
      </c>
      <c r="F66" s="27" t="s">
        <v>177</v>
      </c>
      <c r="G66" s="10">
        <v>0</v>
      </c>
      <c r="H66" s="27" t="s">
        <v>177</v>
      </c>
      <c r="I66" s="6" t="s">
        <v>319</v>
      </c>
    </row>
    <row r="67" spans="1:9" ht="25">
      <c r="A67" s="14" t="s">
        <v>62</v>
      </c>
      <c r="B67" s="14" t="s">
        <v>90</v>
      </c>
      <c r="C67" s="14" t="s">
        <v>91</v>
      </c>
      <c r="D67" s="8" t="s">
        <v>245</v>
      </c>
      <c r="E67" s="14" t="s">
        <v>5</v>
      </c>
      <c r="F67" s="27" t="s">
        <v>178</v>
      </c>
      <c r="G67" s="10">
        <v>0</v>
      </c>
      <c r="H67" s="27" t="s">
        <v>178</v>
      </c>
      <c r="I67" s="6" t="s">
        <v>319</v>
      </c>
    </row>
    <row r="68" spans="1:9">
      <c r="A68" s="14" t="s">
        <v>62</v>
      </c>
      <c r="B68" s="14" t="s">
        <v>92</v>
      </c>
      <c r="C68" s="14" t="s">
        <v>93</v>
      </c>
      <c r="D68" s="15" t="s">
        <v>252</v>
      </c>
      <c r="E68" s="14" t="s">
        <v>5</v>
      </c>
      <c r="F68" s="27" t="s">
        <v>176</v>
      </c>
      <c r="G68" s="10">
        <v>0</v>
      </c>
      <c r="H68" s="27" t="s">
        <v>176</v>
      </c>
      <c r="I68" s="6" t="s">
        <v>319</v>
      </c>
    </row>
    <row r="69" spans="1:9" ht="25">
      <c r="A69" s="14" t="s">
        <v>62</v>
      </c>
      <c r="B69" s="16" t="s">
        <v>94</v>
      </c>
      <c r="C69" s="14" t="s">
        <v>95</v>
      </c>
      <c r="D69" s="8" t="s">
        <v>245</v>
      </c>
      <c r="E69" s="14" t="s">
        <v>5</v>
      </c>
      <c r="F69" s="27" t="s">
        <v>176</v>
      </c>
      <c r="G69" s="10">
        <v>0</v>
      </c>
      <c r="H69" s="27" t="s">
        <v>176</v>
      </c>
      <c r="I69" s="6" t="s">
        <v>319</v>
      </c>
    </row>
    <row r="70" spans="1:9" ht="25">
      <c r="A70" s="14" t="s">
        <v>96</v>
      </c>
      <c r="B70" s="22" t="s">
        <v>97</v>
      </c>
      <c r="C70" s="8" t="s">
        <v>98</v>
      </c>
      <c r="D70" s="8" t="s">
        <v>245</v>
      </c>
      <c r="E70" s="8" t="s">
        <v>180</v>
      </c>
      <c r="F70" s="5">
        <v>2</v>
      </c>
      <c r="G70" s="10">
        <v>0</v>
      </c>
      <c r="H70" s="5">
        <v>2</v>
      </c>
      <c r="I70" s="6" t="s">
        <v>319</v>
      </c>
    </row>
    <row r="71" spans="1:9">
      <c r="A71" s="14" t="s">
        <v>99</v>
      </c>
      <c r="B71" s="22" t="s">
        <v>100</v>
      </c>
      <c r="C71" s="8" t="s">
        <v>101</v>
      </c>
      <c r="D71" s="8" t="s">
        <v>247</v>
      </c>
      <c r="E71" s="8" t="s">
        <v>4</v>
      </c>
      <c r="F71" s="5">
        <f>5*1</f>
        <v>5</v>
      </c>
      <c r="G71" s="10">
        <v>0</v>
      </c>
      <c r="H71" s="5">
        <f>5*1</f>
        <v>5</v>
      </c>
      <c r="I71" s="6" t="s">
        <v>319</v>
      </c>
    </row>
    <row r="72" spans="1:9" ht="25">
      <c r="A72" s="14" t="s">
        <v>99</v>
      </c>
      <c r="B72" s="22" t="s">
        <v>102</v>
      </c>
      <c r="C72" s="11" t="s">
        <v>103</v>
      </c>
      <c r="D72" s="8" t="s">
        <v>245</v>
      </c>
      <c r="E72" s="8" t="s">
        <v>5</v>
      </c>
      <c r="F72" s="5">
        <f>5*1</f>
        <v>5</v>
      </c>
      <c r="G72" s="10">
        <v>0</v>
      </c>
      <c r="H72" s="5">
        <f>5*1</f>
        <v>5</v>
      </c>
      <c r="I72" s="6" t="s">
        <v>319</v>
      </c>
    </row>
    <row r="73" spans="1:9" ht="25">
      <c r="A73" s="14" t="s">
        <v>99</v>
      </c>
      <c r="B73" s="23" t="s">
        <v>104</v>
      </c>
      <c r="C73" s="11" t="s">
        <v>105</v>
      </c>
      <c r="D73" s="8" t="s">
        <v>245</v>
      </c>
      <c r="E73" s="8" t="s">
        <v>5</v>
      </c>
      <c r="F73" s="5">
        <f>5*0.5</f>
        <v>2.5</v>
      </c>
      <c r="G73" s="10">
        <v>0</v>
      </c>
      <c r="H73" s="5">
        <f>5*0.5</f>
        <v>2.5</v>
      </c>
      <c r="I73" s="6" t="s">
        <v>319</v>
      </c>
    </row>
    <row r="74" spans="1:9" ht="25">
      <c r="A74" s="15" t="s">
        <v>106</v>
      </c>
      <c r="B74" s="24" t="s">
        <v>107</v>
      </c>
      <c r="C74" s="24" t="s">
        <v>108</v>
      </c>
      <c r="D74" s="8" t="s">
        <v>253</v>
      </c>
      <c r="E74" s="8" t="s">
        <v>5</v>
      </c>
      <c r="F74" s="31">
        <f>7+9+2+2+5</f>
        <v>25</v>
      </c>
      <c r="G74" s="10">
        <v>0</v>
      </c>
      <c r="H74" s="31">
        <f>7+9+2+2+5</f>
        <v>25</v>
      </c>
      <c r="I74" s="6" t="s">
        <v>319</v>
      </c>
    </row>
    <row r="75" spans="1:9" ht="25">
      <c r="A75" s="15" t="s">
        <v>109</v>
      </c>
      <c r="B75" s="25" t="s">
        <v>110</v>
      </c>
      <c r="C75" s="15" t="s">
        <v>111</v>
      </c>
      <c r="D75" s="8" t="s">
        <v>245</v>
      </c>
      <c r="E75" s="8" t="s">
        <v>4</v>
      </c>
      <c r="F75" s="31">
        <f>F74*3</f>
        <v>75</v>
      </c>
      <c r="G75" s="10">
        <v>0</v>
      </c>
      <c r="H75" s="31">
        <f>H74*3</f>
        <v>75</v>
      </c>
      <c r="I75" s="6" t="s">
        <v>319</v>
      </c>
    </row>
    <row r="76" spans="1:9" ht="25">
      <c r="A76" s="15" t="s">
        <v>112</v>
      </c>
      <c r="B76" s="25" t="s">
        <v>113</v>
      </c>
      <c r="C76" s="15" t="s">
        <v>114</v>
      </c>
      <c r="D76" s="8" t="s">
        <v>245</v>
      </c>
      <c r="E76" s="8" t="s">
        <v>5</v>
      </c>
      <c r="F76" s="31">
        <f>F75</f>
        <v>75</v>
      </c>
      <c r="G76" s="10">
        <v>0</v>
      </c>
      <c r="H76" s="31">
        <f>H75</f>
        <v>75</v>
      </c>
      <c r="I76" s="6" t="s">
        <v>319</v>
      </c>
    </row>
    <row r="77" spans="1:9" ht="25">
      <c r="A77" s="14" t="s">
        <v>115</v>
      </c>
      <c r="B77" s="24" t="s">
        <v>116</v>
      </c>
      <c r="C77" s="24" t="s">
        <v>117</v>
      </c>
      <c r="D77" s="8" t="s">
        <v>245</v>
      </c>
      <c r="E77" s="8" t="s">
        <v>5</v>
      </c>
      <c r="F77" s="32" t="s">
        <v>175</v>
      </c>
      <c r="G77" s="10">
        <v>0</v>
      </c>
      <c r="H77" s="32" t="s">
        <v>175</v>
      </c>
      <c r="I77" s="6" t="s">
        <v>319</v>
      </c>
    </row>
    <row r="78" spans="1:9" ht="25">
      <c r="A78" s="14" t="s">
        <v>118</v>
      </c>
      <c r="B78" s="24" t="s">
        <v>119</v>
      </c>
      <c r="C78" s="15" t="s">
        <v>120</v>
      </c>
      <c r="D78" s="8" t="s">
        <v>245</v>
      </c>
      <c r="E78" s="8" t="s">
        <v>5</v>
      </c>
      <c r="F78" s="31">
        <f>2*2+1</f>
        <v>5</v>
      </c>
      <c r="G78" s="10">
        <v>0</v>
      </c>
      <c r="H78" s="31">
        <f>2*2+1</f>
        <v>5</v>
      </c>
      <c r="I78" s="6" t="s">
        <v>319</v>
      </c>
    </row>
    <row r="79" spans="1:9">
      <c r="A79" s="14" t="s">
        <v>121</v>
      </c>
      <c r="B79" s="25" t="s">
        <v>122</v>
      </c>
      <c r="C79" s="15" t="s">
        <v>123</v>
      </c>
      <c r="D79" s="15" t="s">
        <v>243</v>
      </c>
      <c r="E79" s="8" t="s">
        <v>5</v>
      </c>
      <c r="F79" s="29" t="s">
        <v>181</v>
      </c>
      <c r="G79" s="10">
        <v>0</v>
      </c>
      <c r="H79" s="29" t="s">
        <v>181</v>
      </c>
      <c r="I79" s="6" t="s">
        <v>319</v>
      </c>
    </row>
    <row r="80" spans="1:9" ht="25">
      <c r="A80" s="14" t="s">
        <v>124</v>
      </c>
      <c r="B80" s="24" t="s">
        <v>125</v>
      </c>
      <c r="C80" s="24" t="s">
        <v>126</v>
      </c>
      <c r="D80" s="8" t="s">
        <v>245</v>
      </c>
      <c r="E80" s="8" t="s">
        <v>180</v>
      </c>
      <c r="F80" s="32" t="s">
        <v>178</v>
      </c>
      <c r="G80" s="10">
        <v>0</v>
      </c>
      <c r="H80" s="32" t="s">
        <v>178</v>
      </c>
      <c r="I80" s="6" t="s">
        <v>319</v>
      </c>
    </row>
    <row r="81" spans="1:9" ht="25">
      <c r="A81" s="14" t="s">
        <v>127</v>
      </c>
      <c r="B81" s="24" t="s">
        <v>128</v>
      </c>
      <c r="C81" s="24" t="s">
        <v>129</v>
      </c>
      <c r="D81" s="8" t="s">
        <v>245</v>
      </c>
      <c r="E81" s="8" t="s">
        <v>180</v>
      </c>
      <c r="F81" s="32" t="s">
        <v>176</v>
      </c>
      <c r="G81" s="10">
        <v>0</v>
      </c>
      <c r="H81" s="32" t="s">
        <v>176</v>
      </c>
      <c r="I81" s="6" t="s">
        <v>319</v>
      </c>
    </row>
    <row r="82" spans="1:9" ht="25">
      <c r="A82" s="14" t="s">
        <v>130</v>
      </c>
      <c r="B82" s="24" t="s">
        <v>131</v>
      </c>
      <c r="C82" s="24" t="s">
        <v>132</v>
      </c>
      <c r="D82" s="8" t="s">
        <v>245</v>
      </c>
      <c r="E82" s="8" t="s">
        <v>5</v>
      </c>
      <c r="F82" s="32" t="s">
        <v>176</v>
      </c>
      <c r="G82" s="10">
        <v>0</v>
      </c>
      <c r="H82" s="32" t="s">
        <v>176</v>
      </c>
      <c r="I82" s="6" t="s">
        <v>319</v>
      </c>
    </row>
    <row r="83" spans="1:9" ht="25">
      <c r="A83" s="14" t="s">
        <v>133</v>
      </c>
      <c r="B83" s="8" t="s">
        <v>134</v>
      </c>
      <c r="C83" s="18" t="s">
        <v>135</v>
      </c>
      <c r="D83" s="8" t="s">
        <v>254</v>
      </c>
      <c r="E83" s="8" t="s">
        <v>5</v>
      </c>
      <c r="F83" s="29" t="s">
        <v>182</v>
      </c>
      <c r="G83" s="10">
        <v>0</v>
      </c>
      <c r="H83" s="29" t="s">
        <v>182</v>
      </c>
      <c r="I83" s="6" t="s">
        <v>319</v>
      </c>
    </row>
    <row r="84" spans="1:9" ht="25">
      <c r="A84" s="14" t="s">
        <v>136</v>
      </c>
      <c r="B84" s="26" t="s">
        <v>137</v>
      </c>
      <c r="C84" s="12" t="s">
        <v>138</v>
      </c>
      <c r="D84" s="8" t="s">
        <v>254</v>
      </c>
      <c r="E84" s="26" t="s">
        <v>5</v>
      </c>
      <c r="F84" s="33">
        <v>12</v>
      </c>
      <c r="G84" s="10">
        <v>0</v>
      </c>
      <c r="H84" s="33">
        <v>12</v>
      </c>
      <c r="I84" s="6" t="s">
        <v>319</v>
      </c>
    </row>
    <row r="85" spans="1:9" ht="25">
      <c r="A85" s="14" t="s">
        <v>139</v>
      </c>
      <c r="B85" s="17" t="s">
        <v>140</v>
      </c>
      <c r="C85" s="12" t="s">
        <v>141</v>
      </c>
      <c r="D85" s="8" t="s">
        <v>254</v>
      </c>
      <c r="E85" s="17" t="s">
        <v>5</v>
      </c>
      <c r="F85" s="34" t="s">
        <v>183</v>
      </c>
      <c r="G85" s="10">
        <v>0</v>
      </c>
      <c r="H85" s="34" t="s">
        <v>183</v>
      </c>
      <c r="I85" s="6" t="s">
        <v>319</v>
      </c>
    </row>
    <row r="86" spans="1:9" ht="37.5">
      <c r="A86" s="14" t="s">
        <v>142</v>
      </c>
      <c r="B86" s="8" t="s">
        <v>143</v>
      </c>
      <c r="C86" s="17" t="s">
        <v>144</v>
      </c>
      <c r="D86" s="8" t="s">
        <v>254</v>
      </c>
      <c r="E86" s="8" t="s">
        <v>4</v>
      </c>
      <c r="F86" s="33">
        <f>ROUND(20,3)</f>
        <v>20</v>
      </c>
      <c r="G86" s="10">
        <v>0</v>
      </c>
      <c r="H86" s="33">
        <f>ROUND(20,3)</f>
        <v>20</v>
      </c>
      <c r="I86" s="6" t="s">
        <v>319</v>
      </c>
    </row>
    <row r="87" spans="1:9" ht="37.5">
      <c r="A87" s="14" t="s">
        <v>145</v>
      </c>
      <c r="B87" s="8" t="s">
        <v>146</v>
      </c>
      <c r="C87" s="8" t="s">
        <v>147</v>
      </c>
      <c r="D87" s="8" t="s">
        <v>255</v>
      </c>
      <c r="E87" s="8" t="s">
        <v>4</v>
      </c>
      <c r="F87" s="6" t="s">
        <v>256</v>
      </c>
      <c r="G87" s="10">
        <v>0</v>
      </c>
      <c r="H87" s="6" t="s">
        <v>256</v>
      </c>
      <c r="I87" s="6" t="s">
        <v>319</v>
      </c>
    </row>
    <row r="88" spans="1:9" ht="25">
      <c r="A88" s="14" t="s">
        <v>148</v>
      </c>
      <c r="B88" s="8" t="s">
        <v>149</v>
      </c>
      <c r="C88" s="12" t="s">
        <v>150</v>
      </c>
      <c r="D88" s="8" t="s">
        <v>254</v>
      </c>
      <c r="E88" s="8" t="s">
        <v>5</v>
      </c>
      <c r="F88" s="6" t="s">
        <v>184</v>
      </c>
      <c r="G88" s="10">
        <v>0</v>
      </c>
      <c r="H88" s="6" t="s">
        <v>184</v>
      </c>
      <c r="I88" s="6" t="s">
        <v>319</v>
      </c>
    </row>
    <row r="89" spans="1:9" ht="25">
      <c r="A89" s="14" t="s">
        <v>151</v>
      </c>
      <c r="B89" s="8" t="s">
        <v>152</v>
      </c>
      <c r="C89" s="17" t="s">
        <v>153</v>
      </c>
      <c r="D89" s="8" t="s">
        <v>243</v>
      </c>
      <c r="E89" s="14" t="s">
        <v>5</v>
      </c>
      <c r="F89" s="27" t="s">
        <v>178</v>
      </c>
      <c r="G89" s="10">
        <v>0</v>
      </c>
      <c r="H89" s="27" t="s">
        <v>178</v>
      </c>
      <c r="I89" s="6" t="s">
        <v>319</v>
      </c>
    </row>
    <row r="90" spans="1:9" ht="50">
      <c r="A90" s="14" t="s">
        <v>154</v>
      </c>
      <c r="B90" s="8" t="s">
        <v>155</v>
      </c>
      <c r="C90" s="8" t="s">
        <v>156</v>
      </c>
      <c r="D90" s="8" t="s">
        <v>257</v>
      </c>
      <c r="E90" s="8" t="s">
        <v>4</v>
      </c>
      <c r="F90" s="34" t="s">
        <v>258</v>
      </c>
      <c r="G90" s="10">
        <v>0</v>
      </c>
      <c r="H90" s="34" t="s">
        <v>258</v>
      </c>
      <c r="I90" s="6" t="s">
        <v>319</v>
      </c>
    </row>
    <row r="91" spans="1:9" ht="37.5">
      <c r="A91" s="14" t="s">
        <v>157</v>
      </c>
      <c r="B91" s="8" t="s">
        <v>158</v>
      </c>
      <c r="C91" s="17" t="s">
        <v>159</v>
      </c>
      <c r="D91" s="8" t="s">
        <v>245</v>
      </c>
      <c r="E91" s="8" t="s">
        <v>4</v>
      </c>
      <c r="F91" s="27" t="s">
        <v>185</v>
      </c>
      <c r="G91" s="10">
        <v>0</v>
      </c>
      <c r="H91" s="27" t="s">
        <v>185</v>
      </c>
      <c r="I91" s="6" t="s">
        <v>319</v>
      </c>
    </row>
    <row r="92" spans="1:9" ht="25">
      <c r="A92" s="14" t="s">
        <v>160</v>
      </c>
      <c r="B92" s="8" t="s">
        <v>161</v>
      </c>
      <c r="C92" s="17" t="s">
        <v>162</v>
      </c>
      <c r="D92" s="8" t="s">
        <v>245</v>
      </c>
      <c r="E92" s="14" t="s">
        <v>5</v>
      </c>
      <c r="F92" s="27" t="s">
        <v>176</v>
      </c>
      <c r="G92" s="10">
        <v>0</v>
      </c>
      <c r="H92" s="27" t="s">
        <v>176</v>
      </c>
      <c r="I92" s="6" t="s">
        <v>319</v>
      </c>
    </row>
    <row r="93" spans="1:9" ht="25">
      <c r="A93" s="14" t="s">
        <v>163</v>
      </c>
      <c r="B93" s="26" t="s">
        <v>164</v>
      </c>
      <c r="C93" s="26">
        <v>57943</v>
      </c>
      <c r="D93" s="8" t="s">
        <v>245</v>
      </c>
      <c r="E93" s="26" t="s">
        <v>5</v>
      </c>
      <c r="F93" s="33">
        <v>5</v>
      </c>
      <c r="G93" s="10">
        <v>0</v>
      </c>
      <c r="H93" s="33">
        <v>5</v>
      </c>
      <c r="I93" s="6" t="s">
        <v>319</v>
      </c>
    </row>
    <row r="94" spans="1:9">
      <c r="A94" s="14" t="s">
        <v>165</v>
      </c>
      <c r="B94" s="15" t="s">
        <v>166</v>
      </c>
      <c r="C94" s="17" t="s">
        <v>167</v>
      </c>
      <c r="D94" s="17" t="s">
        <v>245</v>
      </c>
      <c r="E94" s="17" t="s">
        <v>4</v>
      </c>
      <c r="F94" s="33">
        <f>F93*3</f>
        <v>15</v>
      </c>
      <c r="G94" s="10">
        <v>0</v>
      </c>
      <c r="H94" s="33">
        <f>H93*3</f>
        <v>15</v>
      </c>
      <c r="I94" s="6" t="s">
        <v>319</v>
      </c>
    </row>
    <row r="95" spans="1:9" ht="25">
      <c r="A95" s="14" t="s">
        <v>168</v>
      </c>
      <c r="B95" s="15" t="s">
        <v>169</v>
      </c>
      <c r="C95" s="15" t="s">
        <v>170</v>
      </c>
      <c r="D95" s="8" t="s">
        <v>245</v>
      </c>
      <c r="E95" s="15" t="s">
        <v>5</v>
      </c>
      <c r="F95" s="29" t="s">
        <v>175</v>
      </c>
      <c r="G95" s="10">
        <v>0</v>
      </c>
      <c r="H95" s="29" t="s">
        <v>175</v>
      </c>
      <c r="I95" s="6" t="s">
        <v>319</v>
      </c>
    </row>
    <row r="96" spans="1:9">
      <c r="A96" s="14" t="s">
        <v>171</v>
      </c>
      <c r="B96" s="15" t="s">
        <v>166</v>
      </c>
      <c r="C96" s="15" t="s">
        <v>167</v>
      </c>
      <c r="D96" s="15" t="s">
        <v>245</v>
      </c>
      <c r="E96" s="15" t="s">
        <v>4</v>
      </c>
      <c r="F96" s="10">
        <v>6</v>
      </c>
      <c r="G96" s="10">
        <v>0</v>
      </c>
      <c r="H96" s="10">
        <v>6</v>
      </c>
      <c r="I96" s="6" t="s">
        <v>319</v>
      </c>
    </row>
    <row r="97" spans="1:9" ht="37.5">
      <c r="A97" s="14" t="s">
        <v>172</v>
      </c>
      <c r="B97" s="22" t="s">
        <v>173</v>
      </c>
      <c r="C97" s="8" t="s">
        <v>174</v>
      </c>
      <c r="D97" s="8" t="s">
        <v>245</v>
      </c>
      <c r="E97" s="8" t="s">
        <v>5</v>
      </c>
      <c r="F97" s="6" t="s">
        <v>177</v>
      </c>
      <c r="G97" s="10">
        <v>0</v>
      </c>
      <c r="H97" s="6" t="s">
        <v>177</v>
      </c>
      <c r="I97" s="6" t="s">
        <v>319</v>
      </c>
    </row>
    <row r="98" spans="1:9" ht="25">
      <c r="A98" s="4" t="s">
        <v>8</v>
      </c>
      <c r="B98" s="14" t="s">
        <v>260</v>
      </c>
      <c r="C98" s="14" t="s">
        <v>261</v>
      </c>
      <c r="D98" s="14" t="s">
        <v>243</v>
      </c>
      <c r="E98" s="14" t="s">
        <v>5</v>
      </c>
      <c r="F98" s="27" t="s">
        <v>176</v>
      </c>
      <c r="G98" s="27" t="s">
        <v>176</v>
      </c>
      <c r="H98" s="10">
        <v>0</v>
      </c>
      <c r="I98" s="5" t="s">
        <v>186</v>
      </c>
    </row>
    <row r="99" spans="1:9">
      <c r="A99" s="4" t="s">
        <v>11</v>
      </c>
      <c r="B99" s="14" t="s">
        <v>262</v>
      </c>
      <c r="C99" s="14" t="s">
        <v>263</v>
      </c>
      <c r="D99" s="14" t="s">
        <v>243</v>
      </c>
      <c r="E99" s="14" t="s">
        <v>5</v>
      </c>
      <c r="F99" s="27" t="s">
        <v>176</v>
      </c>
      <c r="G99" s="27" t="s">
        <v>176</v>
      </c>
      <c r="H99" s="10">
        <v>0</v>
      </c>
      <c r="I99" s="5" t="s">
        <v>186</v>
      </c>
    </row>
    <row r="100" spans="1:9" ht="25">
      <c r="A100" s="4" t="s">
        <v>18</v>
      </c>
      <c r="B100" s="14" t="s">
        <v>264</v>
      </c>
      <c r="C100" s="14" t="s">
        <v>265</v>
      </c>
      <c r="D100" s="14" t="s">
        <v>243</v>
      </c>
      <c r="E100" s="14" t="s">
        <v>5</v>
      </c>
      <c r="F100" s="27" t="s">
        <v>177</v>
      </c>
      <c r="G100" s="27" t="s">
        <v>177</v>
      </c>
      <c r="H100" s="10">
        <v>0</v>
      </c>
      <c r="I100" s="5" t="s">
        <v>186</v>
      </c>
    </row>
    <row r="101" spans="1:9">
      <c r="A101" s="4" t="s">
        <v>33</v>
      </c>
      <c r="B101" s="14" t="s">
        <v>266</v>
      </c>
      <c r="C101" s="14" t="s">
        <v>267</v>
      </c>
      <c r="D101" s="14" t="s">
        <v>243</v>
      </c>
      <c r="E101" s="14" t="s">
        <v>5</v>
      </c>
      <c r="F101" s="27" t="s">
        <v>175</v>
      </c>
      <c r="G101" s="27" t="s">
        <v>175</v>
      </c>
      <c r="H101" s="10">
        <v>0</v>
      </c>
      <c r="I101" s="5" t="s">
        <v>186</v>
      </c>
    </row>
    <row r="102" spans="1:9" ht="25">
      <c r="A102" s="4" t="s">
        <v>54</v>
      </c>
      <c r="B102" s="14" t="s">
        <v>268</v>
      </c>
      <c r="C102" s="14" t="s">
        <v>269</v>
      </c>
      <c r="D102" s="14" t="s">
        <v>311</v>
      </c>
      <c r="E102" s="14" t="s">
        <v>5</v>
      </c>
      <c r="F102" s="27" t="s">
        <v>176</v>
      </c>
      <c r="G102" s="10">
        <v>0</v>
      </c>
      <c r="H102" s="27" t="s">
        <v>176</v>
      </c>
      <c r="I102" s="6" t="s">
        <v>319</v>
      </c>
    </row>
    <row r="103" spans="1:9" ht="25">
      <c r="A103" s="4" t="s">
        <v>57</v>
      </c>
      <c r="B103" s="14" t="s">
        <v>270</v>
      </c>
      <c r="C103" s="14" t="s">
        <v>271</v>
      </c>
      <c r="D103" s="14" t="s">
        <v>252</v>
      </c>
      <c r="E103" s="14" t="s">
        <v>5</v>
      </c>
      <c r="F103" s="27" t="s">
        <v>176</v>
      </c>
      <c r="G103" s="10">
        <v>0</v>
      </c>
      <c r="H103" s="27" t="s">
        <v>176</v>
      </c>
      <c r="I103" s="6" t="s">
        <v>319</v>
      </c>
    </row>
    <row r="104" spans="1:9" ht="25">
      <c r="A104" s="4" t="s">
        <v>234</v>
      </c>
      <c r="B104" s="14" t="s">
        <v>272</v>
      </c>
      <c r="C104" s="14" t="s">
        <v>273</v>
      </c>
      <c r="D104" s="14" t="s">
        <v>252</v>
      </c>
      <c r="E104" s="14" t="s">
        <v>5</v>
      </c>
      <c r="F104" s="27" t="s">
        <v>178</v>
      </c>
      <c r="G104" s="10">
        <v>0</v>
      </c>
      <c r="H104" s="27" t="s">
        <v>178</v>
      </c>
      <c r="I104" s="6" t="s">
        <v>319</v>
      </c>
    </row>
    <row r="105" spans="1:9" ht="25">
      <c r="A105" s="4" t="s">
        <v>197</v>
      </c>
      <c r="B105" s="14" t="s">
        <v>274</v>
      </c>
      <c r="C105" s="14" t="s">
        <v>275</v>
      </c>
      <c r="D105" s="14" t="s">
        <v>245</v>
      </c>
      <c r="E105" s="14" t="s">
        <v>5</v>
      </c>
      <c r="F105" s="27">
        <v>1</v>
      </c>
      <c r="G105" s="10">
        <v>0</v>
      </c>
      <c r="H105" s="27">
        <v>1</v>
      </c>
      <c r="I105" s="6" t="s">
        <v>319</v>
      </c>
    </row>
    <row r="106" spans="1:9" ht="25">
      <c r="A106" s="4" t="s">
        <v>237</v>
      </c>
      <c r="B106" s="14" t="s">
        <v>276</v>
      </c>
      <c r="C106" s="14" t="s">
        <v>277</v>
      </c>
      <c r="D106" s="14" t="s">
        <v>245</v>
      </c>
      <c r="E106" s="14" t="s">
        <v>5</v>
      </c>
      <c r="F106" s="27" t="s">
        <v>178</v>
      </c>
      <c r="G106" s="10">
        <v>0</v>
      </c>
      <c r="H106" s="27" t="s">
        <v>178</v>
      </c>
      <c r="I106" s="6" t="s">
        <v>319</v>
      </c>
    </row>
    <row r="107" spans="1:9" ht="25">
      <c r="A107" s="4" t="s">
        <v>200</v>
      </c>
      <c r="B107" s="14" t="s">
        <v>278</v>
      </c>
      <c r="C107" s="14" t="s">
        <v>279</v>
      </c>
      <c r="D107" s="14" t="s">
        <v>245</v>
      </c>
      <c r="E107" s="14" t="s">
        <v>5</v>
      </c>
      <c r="F107" s="27" t="s">
        <v>178</v>
      </c>
      <c r="G107" s="10">
        <v>0</v>
      </c>
      <c r="H107" s="27" t="s">
        <v>178</v>
      </c>
      <c r="I107" s="6" t="s">
        <v>319</v>
      </c>
    </row>
    <row r="108" spans="1:9" ht="25">
      <c r="A108" s="4" t="s">
        <v>203</v>
      </c>
      <c r="B108" s="14" t="s">
        <v>280</v>
      </c>
      <c r="C108" s="14" t="s">
        <v>281</v>
      </c>
      <c r="D108" s="14" t="s">
        <v>245</v>
      </c>
      <c r="E108" s="14" t="s">
        <v>5</v>
      </c>
      <c r="F108" s="27" t="s">
        <v>176</v>
      </c>
      <c r="G108" s="10">
        <v>0</v>
      </c>
      <c r="H108" s="27" t="s">
        <v>176</v>
      </c>
      <c r="I108" s="6" t="s">
        <v>319</v>
      </c>
    </row>
    <row r="109" spans="1:9" ht="37.5">
      <c r="A109" s="4" t="s">
        <v>206</v>
      </c>
      <c r="B109" s="14" t="s">
        <v>282</v>
      </c>
      <c r="C109" s="14" t="s">
        <v>283</v>
      </c>
      <c r="D109" s="14" t="s">
        <v>245</v>
      </c>
      <c r="E109" s="14" t="s">
        <v>5</v>
      </c>
      <c r="F109" s="27" t="s">
        <v>176</v>
      </c>
      <c r="G109" s="10">
        <v>0</v>
      </c>
      <c r="H109" s="27" t="s">
        <v>176</v>
      </c>
      <c r="I109" s="6" t="s">
        <v>319</v>
      </c>
    </row>
    <row r="110" spans="1:9" ht="25">
      <c r="A110" s="4" t="s">
        <v>209</v>
      </c>
      <c r="B110" s="14" t="s">
        <v>284</v>
      </c>
      <c r="C110" s="14" t="s">
        <v>51</v>
      </c>
      <c r="D110" s="14" t="s">
        <v>245</v>
      </c>
      <c r="E110" s="14" t="s">
        <v>5</v>
      </c>
      <c r="F110" s="27" t="s">
        <v>177</v>
      </c>
      <c r="G110" s="10">
        <v>0</v>
      </c>
      <c r="H110" s="27" t="s">
        <v>177</v>
      </c>
      <c r="I110" s="6" t="s">
        <v>319</v>
      </c>
    </row>
    <row r="111" spans="1:9" ht="37.5">
      <c r="A111" s="4" t="s">
        <v>62</v>
      </c>
      <c r="B111" s="14" t="s">
        <v>285</v>
      </c>
      <c r="C111" s="14" t="s">
        <v>286</v>
      </c>
      <c r="D111" s="14" t="s">
        <v>243</v>
      </c>
      <c r="E111" s="14" t="s">
        <v>4</v>
      </c>
      <c r="F111" s="27" t="s">
        <v>312</v>
      </c>
      <c r="G111" s="10">
        <v>0</v>
      </c>
      <c r="H111" s="27" t="s">
        <v>312</v>
      </c>
      <c r="I111" s="6" t="s">
        <v>319</v>
      </c>
    </row>
    <row r="112" spans="1:9" ht="25">
      <c r="A112" s="4" t="s">
        <v>287</v>
      </c>
      <c r="B112" s="14" t="s">
        <v>288</v>
      </c>
      <c r="C112" s="14" t="s">
        <v>289</v>
      </c>
      <c r="D112" s="14" t="s">
        <v>313</v>
      </c>
      <c r="E112" s="14" t="s">
        <v>5</v>
      </c>
      <c r="F112" s="27">
        <v>222</v>
      </c>
      <c r="G112" s="10">
        <v>0</v>
      </c>
      <c r="H112" s="27">
        <v>222</v>
      </c>
      <c r="I112" s="6" t="s">
        <v>319</v>
      </c>
    </row>
    <row r="113" spans="1:9" ht="25">
      <c r="A113" s="4" t="s">
        <v>290</v>
      </c>
      <c r="B113" s="14" t="s">
        <v>291</v>
      </c>
      <c r="C113" s="14" t="s">
        <v>111</v>
      </c>
      <c r="D113" s="14" t="s">
        <v>245</v>
      </c>
      <c r="E113" s="14" t="s">
        <v>4</v>
      </c>
      <c r="F113" s="27">
        <v>666</v>
      </c>
      <c r="G113" s="10">
        <v>0</v>
      </c>
      <c r="H113" s="27">
        <v>666</v>
      </c>
      <c r="I113" s="6" t="s">
        <v>319</v>
      </c>
    </row>
    <row r="114" spans="1:9" ht="25">
      <c r="A114" s="4" t="s">
        <v>292</v>
      </c>
      <c r="B114" s="14" t="s">
        <v>113</v>
      </c>
      <c r="C114" s="14" t="s">
        <v>114</v>
      </c>
      <c r="D114" s="14" t="s">
        <v>245</v>
      </c>
      <c r="E114" s="14" t="s">
        <v>5</v>
      </c>
      <c r="F114" s="27">
        <v>222</v>
      </c>
      <c r="G114" s="10">
        <v>0</v>
      </c>
      <c r="H114" s="27">
        <v>222</v>
      </c>
      <c r="I114" s="6" t="s">
        <v>319</v>
      </c>
    </row>
    <row r="115" spans="1:9" ht="25">
      <c r="A115" s="4" t="s">
        <v>96</v>
      </c>
      <c r="B115" s="14" t="s">
        <v>293</v>
      </c>
      <c r="C115" s="14" t="s">
        <v>294</v>
      </c>
      <c r="D115" s="14" t="s">
        <v>243</v>
      </c>
      <c r="E115" s="14" t="s">
        <v>5</v>
      </c>
      <c r="F115" s="27">
        <f>ROUND(1,3)</f>
        <v>1</v>
      </c>
      <c r="G115" s="10">
        <v>0</v>
      </c>
      <c r="H115" s="27">
        <f>ROUND(1,3)</f>
        <v>1</v>
      </c>
      <c r="I115" s="6" t="s">
        <v>319</v>
      </c>
    </row>
    <row r="116" spans="1:9" ht="25">
      <c r="A116" s="4" t="s">
        <v>99</v>
      </c>
      <c r="B116" s="14" t="s">
        <v>295</v>
      </c>
      <c r="C116" s="14" t="s">
        <v>296</v>
      </c>
      <c r="D116" s="14" t="s">
        <v>243</v>
      </c>
      <c r="E116" s="14" t="s">
        <v>5</v>
      </c>
      <c r="F116" s="27">
        <f>ROUND(1,3)</f>
        <v>1</v>
      </c>
      <c r="G116" s="10">
        <v>0</v>
      </c>
      <c r="H116" s="27">
        <f>ROUND(1,3)</f>
        <v>1</v>
      </c>
      <c r="I116" s="6" t="s">
        <v>319</v>
      </c>
    </row>
    <row r="117" spans="1:9" ht="37.5">
      <c r="A117" s="4" t="s">
        <v>124</v>
      </c>
      <c r="B117" s="14" t="s">
        <v>158</v>
      </c>
      <c r="C117" s="14" t="s">
        <v>159</v>
      </c>
      <c r="D117" s="14" t="s">
        <v>245</v>
      </c>
      <c r="E117" s="14" t="s">
        <v>4</v>
      </c>
      <c r="F117" s="27">
        <f>ROUND(8/1.02+16+5,3)</f>
        <v>28.843</v>
      </c>
      <c r="G117" s="10">
        <v>0</v>
      </c>
      <c r="H117" s="27">
        <f>ROUND(8/1.02+16+5,3)</f>
        <v>28.843</v>
      </c>
      <c r="I117" s="6" t="s">
        <v>319</v>
      </c>
    </row>
    <row r="118" spans="1:9" ht="25">
      <c r="A118" s="4" t="s">
        <v>127</v>
      </c>
      <c r="B118" s="14" t="s">
        <v>297</v>
      </c>
      <c r="C118" s="14" t="s">
        <v>298</v>
      </c>
      <c r="D118" s="14" t="s">
        <v>245</v>
      </c>
      <c r="E118" s="14" t="s">
        <v>5</v>
      </c>
      <c r="F118" s="27">
        <f>ROUND(1,3)</f>
        <v>1</v>
      </c>
      <c r="G118" s="10">
        <v>0</v>
      </c>
      <c r="H118" s="27">
        <f>ROUND(1,3)</f>
        <v>1</v>
      </c>
      <c r="I118" s="6" t="s">
        <v>319</v>
      </c>
    </row>
    <row r="119" spans="1:9" ht="50">
      <c r="A119" s="4" t="s">
        <v>130</v>
      </c>
      <c r="B119" s="14" t="s">
        <v>166</v>
      </c>
      <c r="C119" s="14" t="s">
        <v>167</v>
      </c>
      <c r="D119" s="14" t="s">
        <v>245</v>
      </c>
      <c r="E119" s="14" t="s">
        <v>4</v>
      </c>
      <c r="F119" s="27">
        <f>ROUND(57/1.03+3+92,3)</f>
        <v>150.34</v>
      </c>
      <c r="G119" s="10">
        <v>0</v>
      </c>
      <c r="H119" s="27">
        <f>ROUND(57/1.03+3+92,3)</f>
        <v>150.34</v>
      </c>
      <c r="I119" s="6" t="s">
        <v>319</v>
      </c>
    </row>
    <row r="120" spans="1:9" ht="50">
      <c r="A120" s="4" t="s">
        <v>106</v>
      </c>
      <c r="B120" s="14" t="s">
        <v>166</v>
      </c>
      <c r="C120" s="14" t="s">
        <v>299</v>
      </c>
      <c r="D120" s="14" t="s">
        <v>245</v>
      </c>
      <c r="E120" s="14" t="s">
        <v>4</v>
      </c>
      <c r="F120" s="27">
        <f>ROUND(16,3)</f>
        <v>16</v>
      </c>
      <c r="G120" s="10">
        <v>0</v>
      </c>
      <c r="H120" s="27">
        <f>ROUND(16,3)</f>
        <v>16</v>
      </c>
      <c r="I120" s="6" t="s">
        <v>319</v>
      </c>
    </row>
    <row r="121" spans="1:9" ht="37.5">
      <c r="A121" s="4" t="s">
        <v>109</v>
      </c>
      <c r="B121" s="14" t="s">
        <v>173</v>
      </c>
      <c r="C121" s="14" t="s">
        <v>174</v>
      </c>
      <c r="D121" s="14" t="s">
        <v>245</v>
      </c>
      <c r="E121" s="14" t="s">
        <v>5</v>
      </c>
      <c r="F121" s="27" t="s">
        <v>314</v>
      </c>
      <c r="G121" s="10">
        <v>0</v>
      </c>
      <c r="H121" s="27" t="s">
        <v>314</v>
      </c>
      <c r="I121" s="6" t="s">
        <v>319</v>
      </c>
    </row>
    <row r="122" spans="1:9" ht="37.5">
      <c r="A122" s="4" t="s">
        <v>112</v>
      </c>
      <c r="B122" s="14" t="s">
        <v>300</v>
      </c>
      <c r="C122" s="14" t="s">
        <v>301</v>
      </c>
      <c r="D122" s="14" t="s">
        <v>245</v>
      </c>
      <c r="E122" s="14" t="s">
        <v>5</v>
      </c>
      <c r="F122" s="27" t="s">
        <v>177</v>
      </c>
      <c r="G122" s="10">
        <v>0</v>
      </c>
      <c r="H122" s="27" t="s">
        <v>177</v>
      </c>
      <c r="I122" s="6" t="s">
        <v>319</v>
      </c>
    </row>
    <row r="123" spans="1:9" ht="25">
      <c r="A123" s="4" t="s">
        <v>115</v>
      </c>
      <c r="B123" s="14" t="s">
        <v>169</v>
      </c>
      <c r="C123" s="14" t="s">
        <v>170</v>
      </c>
      <c r="D123" s="14" t="s">
        <v>245</v>
      </c>
      <c r="E123" s="14" t="s">
        <v>5</v>
      </c>
      <c r="F123" s="27" t="s">
        <v>315</v>
      </c>
      <c r="G123" s="10">
        <v>0</v>
      </c>
      <c r="H123" s="27" t="s">
        <v>315</v>
      </c>
      <c r="I123" s="6" t="s">
        <v>319</v>
      </c>
    </row>
    <row r="124" spans="1:9" ht="25">
      <c r="A124" s="4" t="s">
        <v>118</v>
      </c>
      <c r="B124" s="14" t="s">
        <v>302</v>
      </c>
      <c r="C124" s="14" t="s">
        <v>303</v>
      </c>
      <c r="D124" s="14" t="s">
        <v>245</v>
      </c>
      <c r="E124" s="14" t="s">
        <v>5</v>
      </c>
      <c r="F124" s="27" t="s">
        <v>316</v>
      </c>
      <c r="G124" s="10">
        <v>0</v>
      </c>
      <c r="H124" s="27" t="s">
        <v>316</v>
      </c>
      <c r="I124" s="6" t="s">
        <v>319</v>
      </c>
    </row>
    <row r="125" spans="1:9" ht="25">
      <c r="A125" s="4" t="s">
        <v>121</v>
      </c>
      <c r="B125" s="14" t="s">
        <v>125</v>
      </c>
      <c r="C125" s="14" t="s">
        <v>126</v>
      </c>
      <c r="D125" s="14" t="s">
        <v>245</v>
      </c>
      <c r="E125" s="14" t="s">
        <v>180</v>
      </c>
      <c r="F125" s="27">
        <v>1</v>
      </c>
      <c r="G125" s="10">
        <v>0</v>
      </c>
      <c r="H125" s="27">
        <v>1</v>
      </c>
      <c r="I125" s="6" t="s">
        <v>319</v>
      </c>
    </row>
    <row r="126" spans="1:9" ht="25">
      <c r="A126" s="4" t="s">
        <v>304</v>
      </c>
      <c r="B126" s="14" t="s">
        <v>128</v>
      </c>
      <c r="C126" s="14" t="s">
        <v>129</v>
      </c>
      <c r="D126" s="14" t="s">
        <v>245</v>
      </c>
      <c r="E126" s="14" t="s">
        <v>180</v>
      </c>
      <c r="F126" s="27">
        <v>1</v>
      </c>
      <c r="G126" s="10">
        <v>0</v>
      </c>
      <c r="H126" s="27">
        <v>1</v>
      </c>
      <c r="I126" s="6" t="s">
        <v>319</v>
      </c>
    </row>
    <row r="127" spans="1:9" ht="25">
      <c r="A127" s="4" t="s">
        <v>305</v>
      </c>
      <c r="B127" s="14" t="s">
        <v>306</v>
      </c>
      <c r="C127" s="14" t="s">
        <v>307</v>
      </c>
      <c r="D127" s="14" t="s">
        <v>245</v>
      </c>
      <c r="E127" s="14" t="s">
        <v>5</v>
      </c>
      <c r="F127" s="27" t="s">
        <v>317</v>
      </c>
      <c r="G127" s="10">
        <v>0</v>
      </c>
      <c r="H127" s="27" t="s">
        <v>317</v>
      </c>
      <c r="I127" s="6" t="s">
        <v>319</v>
      </c>
    </row>
    <row r="128" spans="1:9" ht="25">
      <c r="A128" s="4" t="s">
        <v>305</v>
      </c>
      <c r="B128" s="14" t="s">
        <v>308</v>
      </c>
      <c r="C128" s="14" t="s">
        <v>309</v>
      </c>
      <c r="D128" s="14" t="s">
        <v>245</v>
      </c>
      <c r="E128" s="14" t="s">
        <v>5</v>
      </c>
      <c r="F128" s="27" t="s">
        <v>317</v>
      </c>
      <c r="G128" s="10">
        <v>0</v>
      </c>
      <c r="H128" s="27" t="s">
        <v>317</v>
      </c>
      <c r="I128" s="6" t="s">
        <v>319</v>
      </c>
    </row>
    <row r="129" spans="1:9" ht="25">
      <c r="A129" s="4" t="s">
        <v>305</v>
      </c>
      <c r="B129" s="14" t="s">
        <v>310</v>
      </c>
      <c r="C129" s="14" t="s">
        <v>220</v>
      </c>
      <c r="D129" s="14" t="s">
        <v>244</v>
      </c>
      <c r="E129" s="14" t="s">
        <v>5</v>
      </c>
      <c r="F129" s="27" t="s">
        <v>317</v>
      </c>
      <c r="G129" s="10">
        <v>0</v>
      </c>
      <c r="H129" s="27" t="s">
        <v>317</v>
      </c>
      <c r="I129" s="6" t="s">
        <v>319</v>
      </c>
    </row>
  </sheetData>
  <autoFilter ref="A2:I129" xr:uid="{AE0F27E1-F5F4-4D67-851B-99768F5EC1E6}"/>
  <mergeCells count="1">
    <mergeCell ref="A1:I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Федотов Филипп Константинович</dc:creator>
  <cp:lastModifiedBy>Федотов Филипп Константинович</cp:lastModifiedBy>
  <dcterms:created xsi:type="dcterms:W3CDTF">2026-01-29T10:31:56Z</dcterms:created>
  <dcterms:modified xsi:type="dcterms:W3CDTF">2026-05-07T10:28:25Z</dcterms:modified>
</cp:coreProperties>
</file>