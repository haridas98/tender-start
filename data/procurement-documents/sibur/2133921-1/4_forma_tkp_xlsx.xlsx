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sibur.local\NIPI\KRD\Public\Departments\28.УСиР\11.Вед\0045.2025 Нягань ПП СУГ\03. СПО\14. НТС\3. Выбор\01. Заявка\"/>
    </mc:Choice>
  </mc:AlternateContent>
  <xr:revisionPtr revIDLastSave="0" documentId="13_ncr:1_{A4F91BBB-19CF-4B5A-B7E4-E1C495E7BDFA}" xr6:coauthVersionLast="47" xr6:coauthVersionMax="47" xr10:uidLastSave="{00000000-0000-0000-0000-000000000000}"/>
  <bookViews>
    <workbookView xWindow="-120" yWindow="-120" windowWidth="29040" windowHeight="15720" tabRatio="724" activeTab="6" xr2:uid="{00000000-000D-0000-FFFF-FFFF00000000}"/>
  </bookViews>
  <sheets>
    <sheet name="Форма сводной сметы " sheetId="9" r:id="rId1"/>
    <sheet name="ИД для составления смет" sheetId="17" r:id="rId2"/>
    <sheet name="Лист2" sheetId="14" state="hidden" r:id="rId3"/>
    <sheet name="Справочник СБЦ" sheetId="16" state="hidden" r:id="rId4"/>
    <sheet name="Лист1" sheetId="13" state="hidden" r:id="rId5"/>
    <sheet name="Форма сметы ПИР (2П)" sheetId="4" r:id="rId6"/>
    <sheet name="Форма расчета трудозатрат (3П)" sheetId="15" r:id="rId7"/>
  </sheets>
  <externalReferences>
    <externalReference r:id="rId8"/>
  </externalReferences>
  <definedNames>
    <definedName name="\">Лист1!#REF!</definedName>
    <definedName name="__xlfn.BAHTTEXT" hidden="1">#NAME?</definedName>
    <definedName name="_xlnm._FilterDatabase" localSheetId="6" hidden="1">#REF!</definedName>
    <definedName name="_xlnm._FilterDatabase" localSheetId="0" hidden="1">#REF!</definedName>
    <definedName name="_xlnm._FilterDatabase" hidden="1">#REF!</definedName>
    <definedName name="aaaa" localSheetId="6" hidden="1">#REF!</definedName>
    <definedName name="aaaa" localSheetId="0" hidden="1">#REF!</definedName>
    <definedName name="aaaa" hidden="1">#REF!</definedName>
    <definedName name="adf" localSheetId="6" hidden="1">#REF!</definedName>
    <definedName name="adf" localSheetId="0" hidden="1">#REF!</definedName>
    <definedName name="adf" hidden="1">#REF!</definedName>
    <definedName name="ccc" localSheetId="6" hidden="1">{#N/A,#N/A,TRUE,"Смета на пасс. обор. №1"}</definedName>
    <definedName name="ccc" hidden="1">{#N/A,#N/A,TRUE,"Смета на пасс. обор. №1"}</definedName>
    <definedName name="KD" localSheetId="6">#REF!</definedName>
    <definedName name="KD" localSheetId="0">#REF!</definedName>
    <definedName name="KD">#REF!</definedName>
    <definedName name="wrn.sp2344." localSheetId="6" hidden="1">{#N/A,#N/A,TRUE,"Смета на пасс. обор. №1"}</definedName>
    <definedName name="wrn.sp2344." hidden="1">{#N/A,#N/A,TRUE,"Смета на пасс. обор. №1"}</definedName>
    <definedName name="wrn.sp2345" localSheetId="6" hidden="1">{#N/A,#N/A,TRUE,"Смета на пасс. обор. №1"}</definedName>
    <definedName name="wrn.sp2345" hidden="1">{#N/A,#N/A,TRUE,"Смета на пасс. обор. №1"}</definedName>
    <definedName name="АВТОМОБИЛЬНЫЕ_ДОРОГИ">Лист1!$J$3:$J$4</definedName>
    <definedName name="ап" localSheetId="6" hidden="1">{#N/A,#N/A,TRUE,"Смета на пасс. обор. №1"}</definedName>
    <definedName name="ап" hidden="1">{#N/A,#N/A,TRUE,"Смета на пасс. обор. №1"}</definedName>
    <definedName name="бол" localSheetId="6" hidden="1">{#N/A,#N/A,TRUE,"Смета на пасс. обор. №1"}</definedName>
    <definedName name="бол" hidden="1">{#N/A,#N/A,TRUE,"Смета на пасс. обор. №1"}</definedName>
    <definedName name="ве" localSheetId="6" hidden="1">#REF!</definedName>
    <definedName name="ве" localSheetId="0" hidden="1">#REF!</definedName>
    <definedName name="ве" hidden="1">#REF!</definedName>
    <definedName name="выфаьджфдл" localSheetId="6" hidden="1">#REF!</definedName>
    <definedName name="выфаьджфдл" localSheetId="0" hidden="1">#REF!</definedName>
    <definedName name="выфаьджфдл" hidden="1">#REF!</definedName>
    <definedName name="город" localSheetId="6">#REF!</definedName>
    <definedName name="город" localSheetId="0">#REF!</definedName>
    <definedName name="город">#REF!</definedName>
    <definedName name="джэ" localSheetId="6" hidden="1">{#N/A,#N/A,TRUE,"Смета на пасс. обор. №1"}</definedName>
    <definedName name="джэ" hidden="1">{#N/A,#N/A,TRUE,"Смета на пасс. обор. №1"}</definedName>
    <definedName name="доп" localSheetId="6" hidden="1">{#N/A,#N/A,TRUE,"Смета на пасс. обор. №1"}</definedName>
    <definedName name="доп" hidden="1">{#N/A,#N/A,TRUE,"Смета на пасс. обор. №1"}</definedName>
    <definedName name="ЖЕЛЕЗНЫЕ_ДОРОГИ">Лист1!$AI$3:$AI$11</definedName>
    <definedName name="жю" localSheetId="6" hidden="1">{#N/A,#N/A,TRUE,"Смета на пасс. обор. №1"}</definedName>
    <definedName name="жю" hidden="1">{#N/A,#N/A,TRUE,"Смета на пасс. обор. №1"}</definedName>
    <definedName name="ЗАЩИТНЫЕ_СООРУЖЕНИЯ_ГРАЖДАНСКОЙ_ОБОРОНЫ">Лист1!$AO$3</definedName>
    <definedName name="зщ" localSheetId="6" hidden="1">{#N/A,#N/A,TRUE,"Смета на пасс. обор. №1"}</definedName>
    <definedName name="зщ" hidden="1">{#N/A,#N/A,TRUE,"Смета на пасс. обор. №1"}</definedName>
    <definedName name="ИСКУСТВЕННЫЕ">Лист1!$A$3:$A$12</definedName>
    <definedName name="ИСКУСТВЕННЫЕ_СООРУЖЕНИЯ">Лист1!$A$3:$A$12</definedName>
    <definedName name="ИССКУСТВЕННЫЕ">Лист1!$A$3:$A$12</definedName>
    <definedName name="ИССКУСТВЕННЫЕ_СООРУЖЕНИЯ_МОСТЫ_ПЕРЕХОДЫ_ПУТЕПРОВОДЫ">Лист1!$A$3:$A$12</definedName>
    <definedName name="й" localSheetId="6" hidden="1">#REF!</definedName>
    <definedName name="й" localSheetId="0" hidden="1">#REF!</definedName>
    <definedName name="й" hidden="1">#REF!</definedName>
    <definedName name="команд.обуч." localSheetId="6" hidden="1">{#N/A,#N/A,TRUE,"Смета на пасс. обор. №1"}</definedName>
    <definedName name="команд.обуч." hidden="1">{#N/A,#N/A,TRUE,"Смета на пасс. обор. №1"}</definedName>
    <definedName name="КОММУНАЛЬНЫЕ_ИНЖЕНЕРНЫЕ_СЕТИ_И_СООРУЖЕНИЯ">Лист1!$S$3:$S$8</definedName>
    <definedName name="Конф" localSheetId="6">#REF!</definedName>
    <definedName name="Конф" localSheetId="0">#REF!</definedName>
    <definedName name="Конф">#REF!</definedName>
    <definedName name="конфл" localSheetId="6">#REF!</definedName>
    <definedName name="конфл" localSheetId="0">#REF!</definedName>
    <definedName name="конфл">#REF!</definedName>
    <definedName name="конфл2" localSheetId="6">#REF!</definedName>
    <definedName name="конфл2" localSheetId="0">#REF!</definedName>
    <definedName name="конфл2">#REF!</definedName>
    <definedName name="лдж" localSheetId="6" hidden="1">{#N/A,#N/A,TRUE,"Смета на пасс. обор. №1"}</definedName>
    <definedName name="лдж" hidden="1">{#N/A,#N/A,TRUE,"Смета на пасс. обор. №1"}</definedName>
    <definedName name="лор" localSheetId="6" hidden="1">{#N/A,#N/A,TRUE,"Смета на пасс. обор. №1"}</definedName>
    <definedName name="лор" hidden="1">{#N/A,#N/A,TRUE,"Смета на пасс. обор. №1"}</definedName>
    <definedName name="лот" localSheetId="6" hidden="1">{#N/A,#N/A,TRUE,"Смета на пасс. обор. №1"}</definedName>
    <definedName name="лот" hidden="1">{#N/A,#N/A,TRUE,"Смета на пасс. обор. №1"}</definedName>
    <definedName name="мир" localSheetId="6" hidden="1">{#N/A,#N/A,TRUE,"Смета на пасс. обор. №1"}</definedName>
    <definedName name="мир" hidden="1">{#N/A,#N/A,TRUE,"Смета на пасс. обор. №1"}</definedName>
    <definedName name="_xlnm.Print_Area" localSheetId="1">'ИД для составления смет'!$B$1:$K$6</definedName>
    <definedName name="_xlnm.Print_Area" localSheetId="6">'Форма расчета трудозатрат (3П)'!$A$1:$H$52</definedName>
    <definedName name="_xlnm.Print_Area" localSheetId="0">'Форма сводной сметы '!$B$2:$K$64</definedName>
    <definedName name="_xlnm.Print_Area" localSheetId="5">'Форма сметы ПИР (2П)'!$A$1:$I$28</definedName>
    <definedName name="обуч" localSheetId="6" hidden="1">{#N/A,#N/A,TRUE,"Смета на пасс. обор. №1"}</definedName>
    <definedName name="обуч" hidden="1">{#N/A,#N/A,TRUE,"Смета на пасс. обор. №1"}</definedName>
    <definedName name="ОБЪЕКТЫ_ВОДОСНАБЖЕНИЯ_И_КАНАЛИЗАЦИИ">Лист1!$V$3:$V$11</definedName>
    <definedName name="ОБЪЕКТЫ_ГАЗОВОЙ_ПРОМЫШЛЕННОСТИ">Лист1!$D$3:$D$32</definedName>
    <definedName name="ОБЪЕКТЫ_ЖИЛИЩНО_ГРАЖДАНСКОГО_СТРОИТЕЛЬСТВА">Лист1!$G$3:$G$19</definedName>
    <definedName name="ОБЪЕКТЫ_МАГИСТРАЛЬНОГО_ТРУБОПРОВОДНОГО_ТРАНСПОРТА_НЕФТИ">Лист1!$Y$3:$Y$9</definedName>
    <definedName name="ОБЪЕКТЫ_НЕФТЕПЕРЕРАБАТЫВАЮЩЕЙ_И_НЕФТЕХИМИЧЕСКОЙ_ПРОМЫШЛЕННОСТИ">Лист1!$AB$3:$AB$9</definedName>
    <definedName name="ОБЪЕКТЫ_СИНТЕТИЧЕСКИХ_СМОЛ_ПЛАСТИЧЕСКИХ_МАСС_СТЕКЛОВОЛОКНА_СТЕКЛОПЛАСТИК_ПЛАСТМАССОВЫХ_ИЗДЕЛИЙ">Лист1!$AF$3:$AF$26</definedName>
    <definedName name="ОБЪЕКТЫ_ЭНЕРГЕТИКИ_ГЕНЕРАЦИЯ_ЭНЕРГИИ">Лист1!$M$3:$M$5</definedName>
    <definedName name="ОБЪЕКТЫ_ЭНЕРГЕТИКИ_ЭЛЕКТРОСЕТЕВЫЕ_ОБЪЕКТЫ">Лист1!$P$3:$P$6</definedName>
    <definedName name="олд" localSheetId="6" hidden="1">{#N/A,#N/A,TRUE,"Смета на пасс. обор. №1"}</definedName>
    <definedName name="олд" hidden="1">{#N/A,#N/A,TRUE,"Смета на пасс. обор. №1"}</definedName>
    <definedName name="от" localSheetId="6" hidden="1">{#N/A,#N/A,TRUE,"Смета на пасс. обор. №1"}</definedName>
    <definedName name="от" hidden="1">{#N/A,#N/A,TRUE,"Смета на пасс. обор. №1"}</definedName>
    <definedName name="п" localSheetId="6" hidden="1">#REF!</definedName>
    <definedName name="п" localSheetId="0" hidden="1">#REF!</definedName>
    <definedName name="п" hidden="1">#REF!</definedName>
    <definedName name="Показатель">OFFSET(Лист2!$A$1,MATCH(#REF!,Лист2!$A$2:$A$220,0),1,COUNTIF(Лист2!$A$2:$A$220,#REF!),1)</definedName>
    <definedName name="Показатель1">OFFSET(Лист2!$A$1,MATCH(#REF!,Лист2!$A$2:$A$220,0),1,COUNTIF(Лист2!$A$2:$A$220,#REF!),1)</definedName>
    <definedName name="Показатель2">OFFSET(Лист2!$A$1,MATCH(#REF!,Лист2!$A$2:$A$220,0),1,COUNTIF(Лист2!$A$2:$A$220,#REF!),1)</definedName>
    <definedName name="Показатель3">OFFSET(Лист2!$A$1,MATCH(#REF!,Лист2!$A$2:$A$220,0),1,COUNTIF(Лист2!$A$2:$A$220,#REF!),1)</definedName>
    <definedName name="Показатель4">OFFSET(Лист2!$A$1,MATCH(#REF!,Лист2!$A$2:$A$220,0),1,COUNTIF(Лист2!$A$2:$A$220,#REF!),1)</definedName>
    <definedName name="Показатель5">OFFSET(Лист2!$A$1,MATCH(#REF!,Лист2!$A$2:$A$220,0),1,COUNTIF(Лист2!$A$2:$A$220,#REF!),1)</definedName>
    <definedName name="Показатель6">OFFSET(Лист2!$A$1,MATCH(#REF!,Лист2!$A$2:$A$220,0),1,COUNTIF(Лист2!$A$2:$A$220,#REF!),1)</definedName>
    <definedName name="Показатель7">OFFSET(Лист2!$A$1,MATCH(#REF!,Лист2!$A$2:$A$220,0),1,COUNTIF(Лист2!$A$2:$A$220,#REF!),1)</definedName>
    <definedName name="Показатель8">OFFSET(Лист2!$A$1,MATCH(#REF!,Лист2!$A$2:$A$220,0),1,COUNTIF(Лист2!$A$2:$A$220,#REF!),1)</definedName>
    <definedName name="Показатель9">OFFSET(Лист2!$A$1,MATCH(#REF!,Лист2!$A$2:$A$220,0),1,COUNTIF(Лист2!$A$2:$A$220,#REF!),1)</definedName>
    <definedName name="пор" localSheetId="6" hidden="1">{#N/A,#N/A,TRUE,"Смета на пасс. обор. №1"}</definedName>
    <definedName name="пор" hidden="1">{#N/A,#N/A,TRUE,"Смета на пасс. обор. №1"}</definedName>
    <definedName name="Размерность">OFFSET(Лист2!$B$1,MATCH(#REF!,Лист2!$A$2:$A200,0),1,COUNTIF(Лист2!$A$2:$A$220,#REF!),1)</definedName>
    <definedName name="Размерность1">OFFSET(Лист2!$B$1,MATCH(#REF!,Лист2!$A$2:$A199,0),1,COUNTIF(Лист2!$A$2:$A$228,#REF!),1)</definedName>
    <definedName name="Размерность2">OFFSET(Лист2!$B$1,MATCH(#REF!,Лист2!$A$2:$A199,0),1,COUNTIF(Лист2!$A$2:$A$220,#REF!),1)</definedName>
    <definedName name="Размерность3">OFFSET(Лист2!$B$1,MATCH(#REF!,Лист2!$A$2:$A199,0),1,COUNTIF(Лист2!$A$2:$A$228,#REF!),1)</definedName>
    <definedName name="Размерность4">OFFSET(Лист2!$B$1,MATCH(#REF!,Лист2!$A$2:$A199,0),1,COUNTIF(Лист2!$A$2:$A$228,#REF!),1)</definedName>
    <definedName name="Размерность5">OFFSET(Лист2!$B$1,MATCH(#REF!,Лист2!$A$2:$A199,0),1,COUNTIF(Лист2!$A$2:$A$228,#REF!),1)</definedName>
    <definedName name="Размерность6">OFFSET(Лист2!$B$1,MATCH(#REF!,Лист2!$A$2:$A199,0),1,COUNTIF(Лист2!$A$2:$A$228,#REF!),1)</definedName>
    <definedName name="Размерность7">OFFSET(Лист2!$B$1,MATCH(#REF!,Лист2!$A$2:$A199,0),1,COUNTIF(Лист2!$A$2:$A$228,#REF!),1)</definedName>
    <definedName name="Размерность8">OFFSET(Лист2!$B$1,MATCH(#REF!,Лист2!$A$2:$A199,0),1,COUNTIF(Лист2!$A$2:$A$228,#REF!),1)</definedName>
    <definedName name="Размерность9">OFFSET(Лист2!$B$1,MATCH(#REF!,Лист2!$A$2:$A199,0),1,COUNTIF(Лист2!$A$2:$A$228,#REF!),1)</definedName>
    <definedName name="рр" localSheetId="6" hidden="1">{#N/A,#N/A,TRUE,"Смета на пасс. обор. №1"}</definedName>
    <definedName name="рр" hidden="1">{#N/A,#N/A,TRUE,"Смета на пасс. обор. №1"}</definedName>
    <definedName name="СИСТЕМЫ_ПРОТИВОПОЖАРНОЙ_И_ОХРАННОЙ_ЗАЩИТЫ">Лист1!$AL$3:$AL$9</definedName>
    <definedName name="Смет" localSheetId="6" hidden="1">{#N/A,#N/A,TRUE,"Смета на пасс. обор. №1"}</definedName>
    <definedName name="Смет" hidden="1">{#N/A,#N/A,TRUE,"Смета на пасс. обор. №1"}</definedName>
    <definedName name="сс" localSheetId="6" hidden="1">{#N/A,#N/A,TRUE,"Смета на пасс. обор. №1"}</definedName>
    <definedName name="сс" hidden="1">{#N/A,#N/A,TRUE,"Смета на пасс. обор. №1"}</definedName>
    <definedName name="тзф1">'[1]list-tz'!$A$3:$A$6</definedName>
    <definedName name="тзф2">'[1]list-tz'!$A$9:$A$14</definedName>
    <definedName name="тзф3">'[1]list-tz'!$A$17:$A$24</definedName>
    <definedName name="тзф4">'[1]list-tz'!$A$27:$A$40</definedName>
    <definedName name="трп" localSheetId="6" hidden="1">{#N/A,#N/A,TRUE,"Смета на пасс. обор. №1"}</definedName>
    <definedName name="трп" hidden="1">{#N/A,#N/A,TRUE,"Смета на пасс. обор. №1"}</definedName>
    <definedName name="ук" localSheetId="6" hidden="1">{#N/A,#N/A,TRUE,"Смета на пасс. обор. №1"}</definedName>
    <definedName name="ук" hidden="1">{#N/A,#N/A,TRUE,"Смета на пасс. обор. №1"}</definedName>
    <definedName name="уы" localSheetId="6" hidden="1">{#N/A,#N/A,TRUE,"Смета на пасс. обор. №1"}</definedName>
    <definedName name="уы" hidden="1">{#N/A,#N/A,TRUE,"Смета на пасс. обор. №1"}</definedName>
    <definedName name="ф" localSheetId="6" hidden="1">#REF!</definedName>
    <definedName name="ф" localSheetId="0" hidden="1">#REF!</definedName>
    <definedName name="ф" hidden="1">#REF!</definedName>
    <definedName name="Ф10">'[1]list-psd'!$A$59:$A$72</definedName>
    <definedName name="Ф2">'[1]list-psd'!$A$3:$A$8</definedName>
    <definedName name="Ф5">'[1]list-psd'!$A$11:$A$18</definedName>
    <definedName name="Ф6">'[1]list-psd'!$A$21:$A$24</definedName>
    <definedName name="Ф7">'[1]list-psd'!$A$27:$A$33</definedName>
    <definedName name="Ф8">'[1]list-psd'!$A$36:$A$40</definedName>
    <definedName name="Ф9">'[1]list-psd'!$A$43:$A$56</definedName>
    <definedName name="хэ" localSheetId="6" hidden="1">{#N/A,#N/A,TRUE,"Смета на пасс. обор. №1"}</definedName>
    <definedName name="хэ" hidden="1">{#N/A,#N/A,TRUE,"Смета на пасс. обор. №1"}</definedName>
    <definedName name="цвет" localSheetId="6" hidden="1">{#N/A,#N/A,TRUE,"Смета на пасс. обор. №1"}</definedName>
    <definedName name="цвет" hidden="1">{#N/A,#N/A,TRUE,"Смета на пасс. обор. №1"}</definedName>
    <definedName name="ы" localSheetId="6" hidden="1">{#N/A,#N/A,TRUE,"Смета на пасс. обор. №1"}</definedName>
    <definedName name="ы" hidden="1">{#N/A,#N/A,TRUE,"Смета на пасс. обор. №1"}</definedName>
    <definedName name="ыва" localSheetId="6" hidden="1">{#N/A,#N/A,TRUE,"Смета на пасс. обор. №1"}</definedName>
    <definedName name="ыва" hidden="1">{#N/A,#N/A,TRUE,"Смета на пасс. обор. №1"}</definedName>
    <definedName name="эл" localSheetId="6" hidden="1">{#N/A,#N/A,TRUE,"Смета на пасс. обор. №1"}</definedName>
    <definedName name="эл" hidden="1">{#N/A,#N/A,TRUE,"Смета на пасс. обор. №1"}</definedName>
    <definedName name="ююю" localSheetId="6" hidden="1">{#N/A,#N/A,TRUE,"Смета на пасс. обор. №1"}</definedName>
    <definedName name="ююю" hidden="1">{#N/A,#N/A,TRUE,"Смета на пасс. обор. №1"}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7" l="1"/>
  <c r="J6" i="16" l="1"/>
  <c r="C2" i="16"/>
  <c r="C3" i="16" l="1"/>
  <c r="C4" i="16" s="1"/>
  <c r="C5" i="16" s="1"/>
  <c r="F23" i="15"/>
  <c r="H23" i="15" s="1"/>
  <c r="F24" i="15"/>
  <c r="H24" i="15" s="1"/>
  <c r="F25" i="15"/>
  <c r="H25" i="15" s="1"/>
  <c r="F26" i="15"/>
  <c r="H26" i="15"/>
  <c r="F27" i="15"/>
  <c r="H27" i="15"/>
  <c r="F28" i="15"/>
  <c r="H28" i="15" s="1"/>
  <c r="F29" i="15"/>
  <c r="H29" i="15" s="1"/>
  <c r="F30" i="15"/>
  <c r="H30" i="15"/>
  <c r="F31" i="15"/>
  <c r="H31" i="15"/>
  <c r="F32" i="15"/>
  <c r="H32" i="15" s="1"/>
  <c r="F33" i="15"/>
  <c r="H33" i="15" s="1"/>
  <c r="F34" i="15"/>
  <c r="H34" i="15"/>
  <c r="F35" i="15"/>
  <c r="H35" i="15"/>
  <c r="F36" i="15"/>
  <c r="H36" i="15" s="1"/>
  <c r="F37" i="15"/>
  <c r="H37" i="15" s="1"/>
  <c r="F38" i="15"/>
  <c r="H38" i="15" s="1"/>
  <c r="H39" i="15" l="1"/>
  <c r="H47" i="15" s="1"/>
  <c r="C6" i="16"/>
  <c r="H43" i="15" l="1"/>
  <c r="H44" i="15" s="1"/>
  <c r="C7" i="16"/>
  <c r="H45" i="15" l="1"/>
  <c r="H46" i="15" s="1"/>
  <c r="C8" i="16"/>
  <c r="I40" i="9"/>
  <c r="H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I20" i="9"/>
  <c r="H20" i="9"/>
  <c r="G20" i="9"/>
  <c r="E20" i="9"/>
  <c r="C20" i="9"/>
  <c r="B20" i="9"/>
  <c r="J40" i="9" l="1"/>
  <c r="J41" i="9" s="1"/>
  <c r="J42" i="9" s="1"/>
  <c r="C9" i="16"/>
  <c r="C10" i="16" l="1"/>
  <c r="C11" i="16" l="1"/>
  <c r="C12" i="16" l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l="1"/>
  <c r="C32" i="16" l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C45" i="16" s="1"/>
  <c r="C46" i="16" s="1"/>
  <c r="C47" i="16" s="1"/>
  <c r="C48" i="16" s="1"/>
  <c r="C49" i="16" s="1"/>
  <c r="C50" i="16" s="1"/>
  <c r="C51" i="16" s="1"/>
  <c r="C52" i="16" s="1"/>
  <c r="C53" i="16" s="1"/>
  <c r="C54" i="16" s="1"/>
  <c r="C55" i="16" s="1"/>
  <c r="C56" i="16" l="1"/>
  <c r="C57" i="16" s="1"/>
  <c r="C58" i="16" l="1"/>
  <c r="C59" i="16" s="1"/>
  <c r="C60" i="16" s="1"/>
  <c r="C61" i="16" s="1"/>
  <c r="C62" i="16" s="1"/>
  <c r="C63" i="16" s="1"/>
  <c r="C64" i="16" s="1"/>
  <c r="C65" i="16" s="1"/>
  <c r="C66" i="16" s="1"/>
  <c r="C67" i="16" s="1"/>
  <c r="C68" i="16" s="1"/>
  <c r="C69" i="16" s="1"/>
  <c r="C70" i="16" s="1"/>
  <c r="C71" i="16" s="1"/>
  <c r="C72" i="16" s="1"/>
  <c r="C73" i="16" s="1"/>
  <c r="C74" i="16" s="1"/>
  <c r="C75" i="16" s="1"/>
  <c r="C76" i="16" s="1"/>
  <c r="C77" i="16" l="1"/>
  <c r="C78" i="16" s="1"/>
  <c r="C79" i="16" s="1"/>
  <c r="C80" i="16" s="1"/>
  <c r="C81" i="16" s="1"/>
  <c r="C82" i="16" s="1"/>
  <c r="C83" i="16" s="1"/>
  <c r="C84" i="16" s="1"/>
  <c r="C85" i="16" s="1"/>
  <c r="C86" i="16" s="1"/>
  <c r="C87" i="16" s="1"/>
  <c r="C88" i="16" s="1"/>
  <c r="C89" i="16" s="1"/>
  <c r="C90" i="16" s="1"/>
  <c r="C91" i="16" s="1"/>
  <c r="C92" i="16" s="1"/>
  <c r="C93" i="16" s="1"/>
  <c r="C94" i="16" s="1"/>
  <c r="C95" i="16" s="1"/>
  <c r="C96" i="16" s="1"/>
  <c r="C97" i="16" s="1"/>
  <c r="C98" i="16" s="1"/>
  <c r="C99" i="16" s="1"/>
  <c r="C100" i="16" s="1"/>
  <c r="C101" i="16" s="1"/>
  <c r="C102" i="16" s="1"/>
  <c r="C103" i="16" s="1"/>
  <c r="C104" i="16" s="1"/>
  <c r="C105" i="16" s="1"/>
  <c r="C106" i="16" s="1"/>
  <c r="C107" i="16" s="1"/>
  <c r="C108" i="16" s="1"/>
  <c r="C109" i="16" s="1"/>
  <c r="C110" i="16" s="1"/>
  <c r="C111" i="16" s="1"/>
  <c r="C112" i="16" s="1"/>
  <c r="C113" i="16" s="1"/>
  <c r="C114" i="16" s="1"/>
  <c r="C115" i="16" s="1"/>
  <c r="C116" i="16" s="1"/>
  <c r="C117" i="16" s="1"/>
  <c r="C118" i="16" s="1"/>
  <c r="C119" i="16" s="1"/>
  <c r="C120" i="16" s="1"/>
  <c r="C121" i="16" s="1"/>
  <c r="C122" i="16" s="1"/>
  <c r="C123" i="16" s="1"/>
  <c r="C124" i="16" s="1"/>
  <c r="C125" i="16" s="1"/>
  <c r="C126" i="16" s="1"/>
  <c r="C127" i="16" s="1"/>
  <c r="C128" i="16" s="1"/>
  <c r="C129" i="16" s="1"/>
  <c r="C130" i="16" s="1"/>
  <c r="C131" i="16" s="1"/>
  <c r="C132" i="16" s="1"/>
  <c r="C133" i="16" s="1"/>
  <c r="C134" i="16" l="1"/>
  <c r="C135" i="16" s="1"/>
  <c r="C136" i="16" l="1"/>
  <c r="C137" i="16" s="1"/>
  <c r="C138" i="16" l="1"/>
  <c r="C139" i="16" l="1"/>
  <c r="C140" i="16" s="1"/>
  <c r="C141" i="16" s="1"/>
  <c r="C142" i="16" s="1"/>
  <c r="C143" i="16" s="1"/>
  <c r="F124" i="16" l="1"/>
  <c r="F57" i="16"/>
  <c r="F2" i="16"/>
  <c r="F40" i="16"/>
  <c r="F35" i="16"/>
  <c r="F113" i="16"/>
  <c r="F125" i="16"/>
  <c r="F31" i="16"/>
  <c r="F21" i="16"/>
  <c r="F88" i="16"/>
  <c r="F139" i="16"/>
  <c r="F43" i="16"/>
  <c r="F141" i="16"/>
  <c r="F104" i="16"/>
  <c r="F80" i="16"/>
  <c r="F131" i="16"/>
  <c r="F68" i="16"/>
  <c r="F136" i="16"/>
  <c r="F128" i="16"/>
  <c r="F49" i="16"/>
  <c r="F133" i="16"/>
  <c r="F126" i="16"/>
  <c r="F17" i="16"/>
  <c r="F28" i="16"/>
  <c r="F13" i="16"/>
  <c r="F135" i="16"/>
  <c r="F9" i="16"/>
  <c r="F58" i="16"/>
  <c r="F137" i="16"/>
  <c r="F67" i="16"/>
  <c r="F91" i="16"/>
  <c r="F90" i="16"/>
  <c r="F56" i="16"/>
  <c r="F73" i="16"/>
  <c r="F83" i="16"/>
  <c r="F15" i="16"/>
  <c r="F99" i="16"/>
  <c r="F10" i="16"/>
  <c r="F45" i="16"/>
  <c r="F102" i="16"/>
  <c r="F78" i="16"/>
  <c r="F39" i="16"/>
  <c r="F96" i="16"/>
  <c r="F18" i="16"/>
  <c r="F25" i="16"/>
  <c r="F22" i="16"/>
  <c r="F82" i="16"/>
  <c r="F130" i="16"/>
  <c r="F12" i="16"/>
  <c r="F79" i="16"/>
  <c r="F109" i="16"/>
  <c r="F6" i="16"/>
  <c r="F106" i="16"/>
  <c r="F66" i="16"/>
  <c r="F103" i="16"/>
  <c r="F26" i="16"/>
  <c r="F69" i="16"/>
  <c r="F8" i="16"/>
  <c r="F143" i="16"/>
  <c r="F20" i="16"/>
  <c r="F86" i="16"/>
  <c r="F30" i="16"/>
  <c r="F54" i="16"/>
  <c r="F60" i="16"/>
  <c r="F64" i="16"/>
  <c r="F29" i="16"/>
  <c r="F19" i="16"/>
  <c r="F63" i="16"/>
  <c r="F33" i="16"/>
  <c r="F120" i="16"/>
  <c r="F134" i="16"/>
  <c r="F89" i="16"/>
  <c r="F72" i="16"/>
  <c r="F32" i="16"/>
  <c r="F100" i="16"/>
  <c r="F114" i="16"/>
  <c r="F95" i="16"/>
  <c r="F117" i="16"/>
  <c r="F23" i="16"/>
  <c r="F55" i="16"/>
  <c r="F116" i="16"/>
  <c r="F53" i="16"/>
  <c r="F38" i="16"/>
  <c r="F118" i="16"/>
  <c r="F87" i="16"/>
  <c r="F11" i="16"/>
  <c r="F70" i="16"/>
  <c r="F24" i="16"/>
  <c r="F7" i="16"/>
  <c r="F81" i="16"/>
  <c r="F115" i="16"/>
  <c r="F101" i="16"/>
  <c r="F75" i="16"/>
  <c r="F93" i="16"/>
  <c r="F97" i="16"/>
  <c r="F140" i="16"/>
  <c r="F105" i="16"/>
  <c r="F138" i="16"/>
  <c r="F51" i="16"/>
  <c r="F4" i="16"/>
  <c r="F27" i="16"/>
  <c r="F127" i="16"/>
  <c r="F85" i="16"/>
  <c r="F47" i="16"/>
  <c r="F44" i="16"/>
  <c r="F76" i="16"/>
  <c r="F50" i="16"/>
  <c r="F37" i="16"/>
  <c r="F94" i="16"/>
  <c r="F84" i="16"/>
  <c r="F46" i="16"/>
  <c r="F112" i="16"/>
  <c r="F74" i="16"/>
  <c r="F34" i="16"/>
  <c r="F41" i="16"/>
  <c r="F3" i="16"/>
  <c r="F123" i="16"/>
  <c r="F36" i="16"/>
  <c r="F142" i="16"/>
  <c r="F65" i="16"/>
  <c r="F5" i="16"/>
  <c r="F98" i="16"/>
  <c r="F16" i="16"/>
  <c r="F110" i="16"/>
  <c r="F108" i="16"/>
  <c r="F121" i="16"/>
  <c r="F129" i="16"/>
  <c r="F71" i="16"/>
  <c r="F77" i="16"/>
  <c r="F111" i="16"/>
  <c r="F59" i="16"/>
  <c r="F48" i="16"/>
  <c r="F119" i="16"/>
  <c r="F132" i="16"/>
  <c r="F122" i="16"/>
  <c r="F52" i="16"/>
  <c r="F14" i="16"/>
  <c r="F62" i="16"/>
  <c r="F107" i="16"/>
  <c r="F92" i="16"/>
  <c r="F42" i="16"/>
  <c r="F61" i="16"/>
</calcChain>
</file>

<file path=xl/sharedStrings.xml><?xml version="1.0" encoding="utf-8"?>
<sst xmlns="http://schemas.openxmlformats.org/spreadsheetml/2006/main" count="1328" uniqueCount="415">
  <si>
    <t>Подготовка проектов ТУ на подключение к инженерным сетям и на пересечение с инженерными сетями</t>
  </si>
  <si>
    <t>Формирование пакета исходно-разрешительной документации</t>
  </si>
  <si>
    <t>Разработка технологического регламента</t>
  </si>
  <si>
    <t>Разработка ПЛАС</t>
  </si>
  <si>
    <t>Рассмотрение и согласование ТКП и РКД поставщиков оборудования и материалов</t>
  </si>
  <si>
    <t>Форма 1пс</t>
  </si>
  <si>
    <t>Приложение к</t>
  </si>
  <si>
    <t>(договору, дополнительному соглашению)</t>
  </si>
  <si>
    <t xml:space="preserve">      </t>
  </si>
  <si>
    <t xml:space="preserve"> СМЕТА на проектные и изыскательские работы </t>
  </si>
  <si>
    <t>Наименование строительства и стадии проектирования</t>
  </si>
  <si>
    <t>Наименование проектной организации - генерального проектировщика</t>
  </si>
  <si>
    <t>Наименование организации заказчика</t>
  </si>
  <si>
    <t>N п.п.</t>
  </si>
  <si>
    <t>Перечень выполняемых работ</t>
  </si>
  <si>
    <t>Характеристика проектируемого объекта</t>
  </si>
  <si>
    <t>Ссылка на N смет по формам N 2п и 3п</t>
  </si>
  <si>
    <t>Стоимость работ</t>
  </si>
  <si>
    <t>изыскательских</t>
  </si>
  <si>
    <t>проектных</t>
  </si>
  <si>
    <t>Итого:</t>
  </si>
  <si>
    <t>НДС 20 %</t>
  </si>
  <si>
    <t>Всего с учетом НДС:</t>
  </si>
  <si>
    <t>Итого по смете</t>
  </si>
  <si>
    <t>(сумма прописью)</t>
  </si>
  <si>
    <t>Руководитель проектной организации</t>
  </si>
  <si>
    <t>подпись (инициалы, фамилия)</t>
  </si>
  <si>
    <t>Главный инженер проекта</t>
  </si>
  <si>
    <t xml:space="preserve"> </t>
  </si>
  <si>
    <t>Согласована:</t>
  </si>
  <si>
    <t>Ответственный представитель заказчика</t>
  </si>
  <si>
    <t>Место печати "____" ________________ 20      г.</t>
  </si>
  <si>
    <t>Форма 2П</t>
  </si>
  <si>
    <t>СМЕТА №</t>
  </si>
  <si>
    <t>на   проектные работы</t>
  </si>
  <si>
    <t>Наименование объекта, стадии,</t>
  </si>
  <si>
    <t>этапа проектных работ</t>
  </si>
  <si>
    <t xml:space="preserve">Наименование проектной </t>
  </si>
  <si>
    <t>(изыскательской) организации</t>
  </si>
  <si>
    <t>Наименование организации</t>
  </si>
  <si>
    <t>заказчика</t>
  </si>
  <si>
    <t/>
  </si>
  <si>
    <t>руб.</t>
  </si>
  <si>
    <t>ВСЕГО текущих ценах в рублях</t>
  </si>
  <si>
    <t>кроме того НДС 20%</t>
  </si>
  <si>
    <t>Всего с НДС</t>
  </si>
  <si>
    <t>Форма 3П</t>
  </si>
  <si>
    <t>Приложение № ___</t>
  </si>
  <si>
    <t>к договору №______________________</t>
  </si>
  <si>
    <t xml:space="preserve">СМЕТА на проектные работы № </t>
  </si>
  <si>
    <t>Наименование предприятия, здания, сооружения:</t>
  </si>
  <si>
    <t>Наименование организации исполнителя:</t>
  </si>
  <si>
    <t>Наименование организации заказчика:</t>
  </si>
  <si>
    <t>Раздел 1. Определение трудоемкости (трудозатрат) выполняемой работы</t>
  </si>
  <si>
    <t>№ п/п</t>
  </si>
  <si>
    <t>Исполнители</t>
  </si>
  <si>
    <t>Количество человеко-дней
(гр.4 * гр.5)</t>
  </si>
  <si>
    <t>Средняя зарплата за      1 день</t>
  </si>
  <si>
    <t>Оплата труда (всего) 
(гр.6 * гр.7)</t>
  </si>
  <si>
    <t>должность</t>
  </si>
  <si>
    <t>Количество</t>
  </si>
  <si>
    <t>чел</t>
  </si>
  <si>
    <t>дн</t>
  </si>
  <si>
    <t>1</t>
  </si>
  <si>
    <t>Начальник отдела</t>
  </si>
  <si>
    <t xml:space="preserve">Главный специалист </t>
  </si>
  <si>
    <t>Руководитель группы</t>
  </si>
  <si>
    <t xml:space="preserve">Ведущий инженер </t>
  </si>
  <si>
    <t xml:space="preserve">Инженер 1-й категории </t>
  </si>
  <si>
    <t xml:space="preserve">Инженер 2-й категории </t>
  </si>
  <si>
    <t xml:space="preserve">Инженер 3-й категории </t>
  </si>
  <si>
    <t xml:space="preserve">Инженер </t>
  </si>
  <si>
    <t>Итого з/п непосредственных исполнителей</t>
  </si>
  <si>
    <t>Раздел 2. Определение стоимости работ, перечисленных в разделе 1</t>
  </si>
  <si>
    <t>Наименование показателей</t>
  </si>
  <si>
    <t>Единица измерения</t>
  </si>
  <si>
    <t>Сумма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</si>
  <si>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1</t>
    </r>
  </si>
  <si>
    <t>Итого заработная плата непосредственных исполнителей (итог по гр.8 раздела 1)</t>
  </si>
  <si>
    <t>НДС 20%</t>
  </si>
  <si>
    <t>Итого по смете:</t>
  </si>
  <si>
    <t>Главный инженер проекта__________________________________</t>
  </si>
  <si>
    <t>Выполнение инженерных изысканий</t>
  </si>
  <si>
    <t>Землеустроительная (градостроительная) документация (ППТ, ПМТ, градплан)</t>
  </si>
  <si>
    <t>Корректировка проектной документации, в т.ч.:</t>
  </si>
  <si>
    <t>4.1</t>
  </si>
  <si>
    <t>4.2</t>
  </si>
  <si>
    <t>4.3</t>
  </si>
  <si>
    <t>-</t>
  </si>
  <si>
    <t>Разделы ПД по Постановлениюот 16.02.2008 №87</t>
  </si>
  <si>
    <t>Разработка КД, ОЛ и ИТТ на основное и вспомогательное энергетическое оборудование</t>
  </si>
  <si>
    <t>Разработка ОВОС, проведение общественных слушаний, разработка ПМООС</t>
  </si>
  <si>
    <t>Разработка СЗЗ</t>
  </si>
  <si>
    <t>Проведение процедур P&amp;ID review, HAZOP/HAZID и SIL</t>
  </si>
  <si>
    <t>Разработка рабочей документации, в т.ч.:</t>
  </si>
  <si>
    <t>5</t>
  </si>
  <si>
    <t>4.4</t>
  </si>
  <si>
    <t>4.5</t>
  </si>
  <si>
    <t>4.6</t>
  </si>
  <si>
    <t>4.7</t>
  </si>
  <si>
    <t>Разработка комплектов по титулам</t>
  </si>
  <si>
    <t>Разработка эксплуатационной документации, в т.ч.:</t>
  </si>
  <si>
    <t>6</t>
  </si>
  <si>
    <t>5.1</t>
  </si>
  <si>
    <t>5.2</t>
  </si>
  <si>
    <t>6.1</t>
  </si>
  <si>
    <t>6.2</t>
  </si>
  <si>
    <t>7</t>
  </si>
  <si>
    <t>Прочие затраты, в т.ч.:</t>
  </si>
  <si>
    <t>7.1</t>
  </si>
  <si>
    <t>Всего по смете:</t>
  </si>
  <si>
    <t>№ пп</t>
  </si>
  <si>
    <t>Характеристика предприятия, здания, сооружения или виды работ</t>
  </si>
  <si>
    <t>Номер частей, глав, таблиц, процентов, параграфов и пунктов указаний к разделу Справочника базовых цен на проектные и изыскательские работы для строительства</t>
  </si>
  <si>
    <t xml:space="preserve">Расчет стоимости: (a+bx)*Ki, или (объем строительно-монтажных работ) * проц./100 или количество x цена </t>
  </si>
  <si>
    <t>Стоимость, руб.</t>
  </si>
  <si>
    <t>всего, без НДС, руб.</t>
  </si>
  <si>
    <t xml:space="preserve">                       "____" _______________ 20      г.</t>
  </si>
  <si>
    <t xml:space="preserve">                                      МП</t>
  </si>
  <si>
    <t xml:space="preserve">этап: </t>
  </si>
  <si>
    <t xml:space="preserve">Стадия: </t>
  </si>
  <si>
    <t>Подготовка сводной заказной спецификации, разработка ведомости объемов работ по форме Заказчика, разработка спецификации аварийного запаса ЗИП</t>
  </si>
  <si>
    <t xml:space="preserve">СБЦ-ИИ-2006 "Инженерно-геодезические изыскания при строительстве и эксплуатации зданий и сооружений" (Рекомендован Росстроем Министерства регионального развития РФ письмом от 24.05.2006 г. N СК-1976/02).
СБЦ-ИИ-1998 СБЦ на инженерно-геологические и инженерно-экологические изыскания для строительства (Одобрен письмом Госстроя от 22 июня 1998 г. N 9-4/84).
СБЦ-ИИ-2000 "Инженерно-гидрографические работы. Инженерно-гидрометеорологические изыскания на реках"
(Утвержден письмом Госстроя России от 26.09.2000       N 5-11/91).
 Приказ № 317, от 02.07.2010 г. Министерства регионального развития Российской Федерации.  об утверждении методики определения стоимости работ по очистке местности от взрывоопасных предметов в сфере градостроительной деятельности.                                                          СЦНПР-91 Сборник цен на научно-проектные работы по памятникам истории и культуры. </t>
  </si>
  <si>
    <t xml:space="preserve"> Сборник цен на проектные работы в строительстве "Территориальное планирование и планировка территории", утвержденный Приказом Министерства регионального развития Российской Федерации от 28.05.2010 г.№ 260.                                                                        Сборник цен и общественно необходимых затрат труда (ОНЗТ) на изготовление проектной и изыскательской продукции землеустройства, земельного кадастра и мониторинга земель, утвержденный Приказом Роскомзема от 28.12.1995 г. № 70. </t>
  </si>
  <si>
    <t>По калькуляции затрат по форме 3П</t>
  </si>
  <si>
    <t xml:space="preserve"> Справочники базовых цен приведенные в «Федеральном реестре сметных нормативов, подлежащих применению при определении сметной стоимости объектов капитального строительства» размещенного на официальном сайте Минстроя России (www.minstroyrf.ru) 
методические указания по применению справочников базовых цен на проектные работы в строительстве, 2009 (Приказ Министерства регионального развития РФ от 29 декабря 2009 г. №620); 
 разъяснения ОАО «ЦИНТРИНВЕСТпроект»;
 коэффициенты изменения сметной стоимости проектных работ публикуемые ежеквартально Минстроем РФ, за исключением случаев особо оговоренных в конкурсной документации</t>
  </si>
  <si>
    <t xml:space="preserve">СБЦ приведенные в «Федеральном реестре сметных нормативов, подлежащих применению при определении сметной стоимости объектов капитального строительства» размещенного на официальном сайте Минстроя России (www.minstroyrf.ru) </t>
  </si>
  <si>
    <t xml:space="preserve"> СБЦ "Территориальное планирование и планировка территорий. 2010 г. Раздел 2, Таблица 5.</t>
  </si>
  <si>
    <t>1. Ориентировочно стоимость разработки ОВОС может составлять дополнительно до 4% от общей стоимости разработки проектной и рабочей документации (П + Р). (Для объектов с привлечением средств ПАО "Газпром" - до 2%)
2. По калькуляции затрат по форме 3П, с предоставлением обоснования.
3. Затраты на разработку раздела ПД «Перечень мероприятий по охране окружающей среды» (ООС) учтены комплексными ценами, содержащимися в СБЦ изд. 1995-1999 гг., 2003 г., 2004 г., 2006-2008 гг., а также ценами, введенными в 2009 г. в статусе государственных стоимостных нормативов. Исключение составляют СБЦ в которых указан другой порядок определения этих затрат</t>
  </si>
  <si>
    <t xml:space="preserve">Справочники базовых цен приведенные в «Федеральном реестре сметных нормативов, подлежащих применению при определении сметной стоимости объектов капитального строительства» размещенного на официальном сайте Минстроя России (www.minstroyrf.ru) </t>
  </si>
  <si>
    <t>Выполненнение отдельным томом (в том числе в формате Excel) в размере до 2% от стоимости проектирования соответствующих разделов.
Затраты на разработку Разработка ведомости объемов работ учтены комплексными ценами, содержащимися в СБЦ.
Затраты на разработку спецификации аварийного запаса ЗИП работ учтены комплексными ценами, содержащимися в СБЦ.</t>
  </si>
  <si>
    <t>Трудозатраты определенные участников, ч.ч.</t>
  </si>
  <si>
    <t>м</t>
  </si>
  <si>
    <t>Полная длина</t>
  </si>
  <si>
    <t>Железнодорожные мосты с пролетами до 42 м.</t>
  </si>
  <si>
    <t>Железнодорожные мосты с пролетами свыше 42 м.</t>
  </si>
  <si>
    <t>Автодорожные мосты</t>
  </si>
  <si>
    <t xml:space="preserve">Городские мосты </t>
  </si>
  <si>
    <t>Пешеходный переход (технологическая эстакада) шириной до 3 м</t>
  </si>
  <si>
    <t>Пешеходный переход (технологическая эстакада) шириной до 5 м</t>
  </si>
  <si>
    <t xml:space="preserve">Путепроводы, эстакады однопутные железнодорожные </t>
  </si>
  <si>
    <t>Путепроводы, эстакады автодорожные</t>
  </si>
  <si>
    <t>Протяженность</t>
  </si>
  <si>
    <t>Водопропускные трубы на железных и автомобильных дорогах</t>
  </si>
  <si>
    <t>Пешеходные мосты</t>
  </si>
  <si>
    <t>Переходы газопроводом (трубопроводом) через водные преграды и препятствия</t>
  </si>
  <si>
    <t>Автомобильные газонаполнительные компрессорные станции (АГНКС)</t>
  </si>
  <si>
    <t>Газопровод диаметром до 500 мм</t>
  </si>
  <si>
    <t>Газопровод диаметром более 500 мм</t>
  </si>
  <si>
    <t>км</t>
  </si>
  <si>
    <t>Подвесные переходы</t>
  </si>
  <si>
    <t>Балочные переходы</t>
  </si>
  <si>
    <t>Протяженность между отключающими кранами</t>
  </si>
  <si>
    <t>Пролеты между крайними опорами</t>
  </si>
  <si>
    <t>Длина надземной части</t>
  </si>
  <si>
    <t>Установка компримирования газа</t>
  </si>
  <si>
    <t>кВт</t>
  </si>
  <si>
    <t>Установка осушки газа</t>
  </si>
  <si>
    <t>Суммарная установленная мощность</t>
  </si>
  <si>
    <t>Производительность</t>
  </si>
  <si>
    <t>м3/сут</t>
  </si>
  <si>
    <t>Установка очистки газа от пыли</t>
  </si>
  <si>
    <t>млн. м3/сут</t>
  </si>
  <si>
    <t>Установка второй ступени очистки с фильтросепараторами</t>
  </si>
  <si>
    <t>Установка воздушного охлаждения газа</t>
  </si>
  <si>
    <t>Установка замера газа (отдельная площадка вне территории КС)</t>
  </si>
  <si>
    <t>на газопроводе диаметром</t>
  </si>
  <si>
    <t>мм</t>
  </si>
  <si>
    <t>Установка запуска и приема очистных устройств с узлом подключения КС</t>
  </si>
  <si>
    <t>Количество заправок в сутки</t>
  </si>
  <si>
    <t>заправок</t>
  </si>
  <si>
    <t>Установка переключающей арматуры</t>
  </si>
  <si>
    <t>Установка первичной сепарации газа</t>
  </si>
  <si>
    <t>Установка первичной обработки конденсата газа</t>
  </si>
  <si>
    <t>т/час</t>
  </si>
  <si>
    <t xml:space="preserve"> 
Установка низкотемпературной сепарации газа</t>
  </si>
  <si>
    <t>Установка низкотемпературной абсорбции газа</t>
  </si>
  <si>
    <t>Установка абсорбции газа</t>
  </si>
  <si>
    <t xml:space="preserve">Установка осушки газа </t>
  </si>
  <si>
    <t>Установка регенерации метанола (огневая регенерация)</t>
  </si>
  <si>
    <t>Установка факельного сепаратора и сборника жидкости</t>
  </si>
  <si>
    <t xml:space="preserve">Установка факела </t>
  </si>
  <si>
    <t>Электрокабельные сети</t>
  </si>
  <si>
    <t>Насосная перекачки ГЖ и ЛВЖ</t>
  </si>
  <si>
    <t xml:space="preserve"> м3/час</t>
  </si>
  <si>
    <t>Товарно-сырьевой склад ГЖ и ЛВЖ из вертикальных стальных резервуаров</t>
  </si>
  <si>
    <t xml:space="preserve"> тыс. м3</t>
  </si>
  <si>
    <t>Объём</t>
  </si>
  <si>
    <t>Сливно-наливные установки ГЖ и ЛВЖ, неавтоматизированные для налива в автоцистерны</t>
  </si>
  <si>
    <t>Количество стояков</t>
  </si>
  <si>
    <t>шт</t>
  </si>
  <si>
    <t>Установка приготовления и подачи ингибиторов коррозии ПАВ</t>
  </si>
  <si>
    <t>Центральный пункт управления, диспетчерская, операторная, СЭБ, СЭРБ</t>
  </si>
  <si>
    <t>Площадь</t>
  </si>
  <si>
    <t>м2</t>
  </si>
  <si>
    <t>Установка компримирования газа на дожимной компрессорной станции</t>
  </si>
  <si>
    <t>мощность</t>
  </si>
  <si>
    <t xml:space="preserve"> тыс. кВт</t>
  </si>
  <si>
    <t>Объекты здравоохранения</t>
  </si>
  <si>
    <t>Объекты отдыха</t>
  </si>
  <si>
    <t>Специализированные здания для физической культуры и спорта</t>
  </si>
  <si>
    <t>Плоскостные сооружения</t>
  </si>
  <si>
    <t>Научно-исследовательские учреждения, проектные и конструкторские организации</t>
  </si>
  <si>
    <t>Здания предприятий общественного питания</t>
  </si>
  <si>
    <t>Административные здания</t>
  </si>
  <si>
    <t>Заводы по переработке твердых бытовых отходов, полигон для захоронения твердых бытовых отходов, станции по сортировке, перегрузке твердых бытовых отходов</t>
  </si>
  <si>
    <t>Эксплуатационные базы газового хозяйства</t>
  </si>
  <si>
    <t>Инженерная подготовка территории, набережные</t>
  </si>
  <si>
    <t>Уникальные здания и сооружения</t>
  </si>
  <si>
    <t xml:space="preserve"> Гостиницы, общежития</t>
  </si>
  <si>
    <t>мест</t>
  </si>
  <si>
    <t>количество мест</t>
  </si>
  <si>
    <t>площадь</t>
  </si>
  <si>
    <t>габаритные размеры</t>
  </si>
  <si>
    <t>м х м</t>
  </si>
  <si>
    <t>Библиотеки, архивы</t>
  </si>
  <si>
    <t>количество томов</t>
  </si>
  <si>
    <t>тыс. томов</t>
  </si>
  <si>
    <t>Проектные, конструкторские организации</t>
  </si>
  <si>
    <t>Число рабочих мест</t>
  </si>
  <si>
    <t>Число посадочных мест</t>
  </si>
  <si>
    <t>Предприятия по стирке белья и химической чистке одежды</t>
  </si>
  <si>
    <t>кг/смена</t>
  </si>
  <si>
    <t>тыс. т/год или т для полигонов</t>
  </si>
  <si>
    <t>количество жителей</t>
  </si>
  <si>
    <t>тыс. чел.</t>
  </si>
  <si>
    <t>объем намыва грунта</t>
  </si>
  <si>
    <t>тыс. м3</t>
  </si>
  <si>
    <t>млн. руб</t>
  </si>
  <si>
    <t>стоимость строительства на 2001 год</t>
  </si>
  <si>
    <t>Автомобильные дороги</t>
  </si>
  <si>
    <t>Транспортные развязки</t>
  </si>
  <si>
    <t>Уровней развязки</t>
  </si>
  <si>
    <t>Котельные</t>
  </si>
  <si>
    <t>ДЭС</t>
  </si>
  <si>
    <t>Газотурбинные ЭС</t>
  </si>
  <si>
    <t>Открытые и закрытые электрические подстанции напряжением 35 - 1150 кВ</t>
  </si>
  <si>
    <t>Кабельные линии напряжением 110 - 500 кВ</t>
  </si>
  <si>
    <t>Ремонтно-производственные базы (РПБ) и ремонтно-эксплуатационные пункты (РЭП) электросетей</t>
  </si>
  <si>
    <t>Центральный тепловой пункт</t>
  </si>
  <si>
    <t>Длина</t>
  </si>
  <si>
    <t>Трансформаторные подстанции</t>
  </si>
  <si>
    <t>Мощность</t>
  </si>
  <si>
    <t>кВ*А</t>
  </si>
  <si>
    <t>теплопроизводительность</t>
  </si>
  <si>
    <t>Гкал/ч</t>
  </si>
  <si>
    <t>Нагрузка</t>
  </si>
  <si>
    <t>Водозаборные сооружения из поверхностных источников с насосной станцией 1-го подъема</t>
  </si>
  <si>
    <t>Водозаборы из подземных источников</t>
  </si>
  <si>
    <t>Водовод в одну линию с сооружениями на нем</t>
  </si>
  <si>
    <t>Водопроводные очистные сооружения</t>
  </si>
  <si>
    <t>Канализационные коллекторы с сооружениями на них</t>
  </si>
  <si>
    <t>Станции перекачки сточных вод</t>
  </si>
  <si>
    <t>Сооружения для очистки сточных вод</t>
  </si>
  <si>
    <t>тыс.м3/ч</t>
  </si>
  <si>
    <t>м3/ч</t>
  </si>
  <si>
    <t>Длина
Диаметр
Расход</t>
  </si>
  <si>
    <t>м
мм
м3/ч</t>
  </si>
  <si>
    <t>Насосная станция  II-го подъема, подкачки или систем оборотного водоснабжения</t>
  </si>
  <si>
    <t>Пропускная способность</t>
  </si>
  <si>
    <t>Водоподготовки и очистки сточных вод</t>
  </si>
  <si>
    <t>Линейная часть магистральных нефтепроводов</t>
  </si>
  <si>
    <t>Технологические установки и отдельные производства нефтеперерабатывающей промышленности</t>
  </si>
  <si>
    <t>Ремонтные службы</t>
  </si>
  <si>
    <t>Объекты подсобно-производственного, вспомогательного и общезаводского назначения, внутриплощадочные инженерные сети, генплан</t>
  </si>
  <si>
    <t>Очистные сооружения и водоблоки</t>
  </si>
  <si>
    <t>Трансформаторные подстанции и распределительные устройства, размещаемые на площадках взрывопожароопасных производств</t>
  </si>
  <si>
    <t>Диаметр
Протяженность</t>
  </si>
  <si>
    <t>мм
км</t>
  </si>
  <si>
    <t>Здание магистральной насосной станции</t>
  </si>
  <si>
    <t>млн. т/год</t>
  </si>
  <si>
    <t>Подпорные насосные станции</t>
  </si>
  <si>
    <t>Системы измерений количества и показателей качества нефти</t>
  </si>
  <si>
    <t>Переходы нефтепроводов</t>
  </si>
  <si>
    <t>Пункт подогрева нефти</t>
  </si>
  <si>
    <t>Число печей</t>
  </si>
  <si>
    <t>Наружное освещение территории нефтеперекачивающей станции</t>
  </si>
  <si>
    <t>га</t>
  </si>
  <si>
    <t>Производительность (количество)</t>
  </si>
  <si>
    <t>тыс.т/год(объектов)</t>
  </si>
  <si>
    <t>Площадь (количество)</t>
  </si>
  <si>
    <t>м2(объектов)</t>
  </si>
  <si>
    <t>Напряжение
Мощность</t>
  </si>
  <si>
    <t>кВ
кВА</t>
  </si>
  <si>
    <t>ОБЪЕКТЫ_ГАЗОВОЙ_ПРОМЫШЛЕННОСТИ</t>
  </si>
  <si>
    <t>АВТОМОБИЛЬНЫЕ_ДОРОГИ</t>
  </si>
  <si>
    <t>ОБЪЕКТЫ_ЭНЕРГЕТИКИ_ЭЛЕКТРОСЕТЕВЫЕ_ОБЪЕКТЫ</t>
  </si>
  <si>
    <t>КОММУНАЛЬНЫЕ_ИНЖЕНЕРНЫЕ_СЕТИ_И_СООРУЖЕНИЯ</t>
  </si>
  <si>
    <t>ОБЪЕКТЫ_ВОДОСНАБЖЕНИЯ_И_КАНАЛИЗАЦИИ</t>
  </si>
  <si>
    <t>ОБЪЕКТЫ_МАГИСТРАЛЬНОГО_ТРУБОПРОВОДНОГО_ТРАНСПОРТА_НЕФТИ</t>
  </si>
  <si>
    <t>ОБЪЕКТЫ_НЕФТЕПЕРЕРАБАТЫВАЮЩЕЙ_И_НЕФТЕХИМИЧЕСКОЙ_ПРОМЫШЛЕННОСТИ</t>
  </si>
  <si>
    <t>ОБЪЕКТЫ_ЖИЛИЩНО_ГРАЖДАНСКОГО_СТРОИТЕЛЬСТВА</t>
  </si>
  <si>
    <t>ОБЪЕКТЫ_ЭНЕРГЕТИКИ_ГЕНЕРАЦИЯ_ЭНЕРГИИ</t>
  </si>
  <si>
    <t xml:space="preserve">Наименование </t>
  </si>
  <si>
    <t>Показатель</t>
  </si>
  <si>
    <t>Другое (Указать вручную)</t>
  </si>
  <si>
    <t>_</t>
  </si>
  <si>
    <t>РД</t>
  </si>
  <si>
    <t>ПД</t>
  </si>
  <si>
    <t>вне стадийная</t>
  </si>
  <si>
    <t>ПД+РД</t>
  </si>
  <si>
    <t>Открытые и закрытые электрические подстанции напряжением 35 - 110 кВ</t>
  </si>
  <si>
    <t>Производство полиамидных смол</t>
  </si>
  <si>
    <t>тыс. т/год</t>
  </si>
  <si>
    <t>Производство поликорбанатов</t>
  </si>
  <si>
    <t>Производство полибутилентерефталата</t>
  </si>
  <si>
    <t>Производство карбамидных смол</t>
  </si>
  <si>
    <t>Производство полиэфирмалеинатов</t>
  </si>
  <si>
    <t>Производство полиформальдегида</t>
  </si>
  <si>
    <t>Производство полистирола</t>
  </si>
  <si>
    <t>Производство полиэтилена высокого давления</t>
  </si>
  <si>
    <t>Производство полиэтилена низкого давления</t>
  </si>
  <si>
    <t>Производство полиэтилентерефталата</t>
  </si>
  <si>
    <t>Производство поливинилбутираля</t>
  </si>
  <si>
    <t>Производство простых полиэфиров</t>
  </si>
  <si>
    <t>Производство конфекционированных систем</t>
  </si>
  <si>
    <t>Производство блочного │пенополиуретана</t>
  </si>
  <si>
    <t>Производство кабельного пластиката</t>
  </si>
  <si>
    <t>Производство пластификаторов</t>
  </si>
  <si>
    <t>Производство пентаэритрита</t>
  </si>
  <si>
    <t>Производство фенолоформальдегидных смол</t>
  </si>
  <si>
    <t>Производство формалина</t>
  </si>
  <si>
    <t>Производства стекловолокна и стеклотканей</t>
  </si>
  <si>
    <t>Производство стеклопластиковых изделий</t>
  </si>
  <si>
    <t>Производство пластмассовых изделий</t>
  </si>
  <si>
    <t>Производство дренажных гофрированных труб из ПВХ и композиции ПВХ</t>
  </si>
  <si>
    <t>Производство пленки полиэтиленовой</t>
  </si>
  <si>
    <t>ОБЪЕКТЫ_СИНТЕТИЧЕСКИХ_СМОЛ_ПЛАСТИЧЕСКИХ_МАСС_СТЕКЛОВОЛОКНА_СТЕКЛОПЛАСТИК_ПЛАСТМАССОВЫХ_ИЗДЕЛИЙ</t>
  </si>
  <si>
    <t xml:space="preserve">Указать сооружение/Вид работ
(Указать раздел ТХ, ЭМ, ТК и т.д.) </t>
  </si>
  <si>
    <r>
      <rPr>
        <b/>
        <u/>
        <sz val="12"/>
        <rFont val="Times New Roman"/>
        <family val="1"/>
        <charset val="204"/>
      </rPr>
      <t xml:space="preserve">Разработка документации </t>
    </r>
    <r>
      <rPr>
        <b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(вид работ/сооружение)</t>
    </r>
  </si>
  <si>
    <t>Категория
Протяженность</t>
  </si>
  <si>
    <t>Тип развязки
Уровней развязки</t>
  </si>
  <si>
    <t>Материал
Диаметр
Количество проходов
Протяженность</t>
  </si>
  <si>
    <t>_ 
мм
шт
м</t>
  </si>
  <si>
    <t>ЖЕЛЕЗНЫЕ_ДОРОГИ</t>
  </si>
  <si>
    <t>Железная дорога</t>
  </si>
  <si>
    <t>Категория
Протяженность
Вид тяги</t>
  </si>
  <si>
    <t>_
км
-</t>
  </si>
  <si>
    <t>Платформы низкие</t>
  </si>
  <si>
    <t>Платформы</t>
  </si>
  <si>
    <t>Подпорные и ограждающие стенки в грунте</t>
  </si>
  <si>
    <t>п.м.</t>
  </si>
  <si>
    <t>Железнодорожный переезд</t>
  </si>
  <si>
    <t>Количество путей</t>
  </si>
  <si>
    <t>Переходы траншейным методом</t>
  </si>
  <si>
    <t>Переходы наклонно-направленного бурения</t>
  </si>
  <si>
    <t>Переходы методом микротоннелирования</t>
  </si>
  <si>
    <t>Переходы методом тоннелирования</t>
  </si>
  <si>
    <t xml:space="preserve">Переходы подвесные </t>
  </si>
  <si>
    <t>Балочные пролеты</t>
  </si>
  <si>
    <t>Диаметр трубы
Протяженность</t>
  </si>
  <si>
    <t>мм
м</t>
  </si>
  <si>
    <t>СИСТЕМЫ_ПРОТИВОПОЖАРНОЙ_И_ОХРАННОЙ_ЗАЩИТЫ</t>
  </si>
  <si>
    <t>Площадь объекта</t>
  </si>
  <si>
    <t>Дренчерные установки</t>
  </si>
  <si>
    <t>Спринклерные установки</t>
  </si>
  <si>
    <t>Автоматические установки пожарной сигнализации</t>
  </si>
  <si>
    <t>Системы оповещения людей о пожаре </t>
  </si>
  <si>
    <t>Установки охранной сигнализации</t>
  </si>
  <si>
    <t>Установки периметральной охранной сигнализации</t>
  </si>
  <si>
    <t xml:space="preserve">Протяженность </t>
  </si>
  <si>
    <t>Системы управления установками дымоудаления</t>
  </si>
  <si>
    <t>Пожарное депо</t>
  </si>
  <si>
    <t>Количество машин</t>
  </si>
  <si>
    <t>ЗАЩИТНЫЕ_СООРУЖЕНИЯ_ГРАЖДАНСКОЙ_ОБОРОНЫ</t>
  </si>
  <si>
    <t>Защитные сооружения гражданской обороны</t>
  </si>
  <si>
    <t>Количество укрываемых людей</t>
  </si>
  <si>
    <t xml:space="preserve">чел. </t>
  </si>
  <si>
    <t>Диспетчерское управление энергетическими объектами (электростанциями, подстанциями)</t>
  </si>
  <si>
    <t>Ремонтно-механические мастерские</t>
  </si>
  <si>
    <t xml:space="preserve"> м2</t>
  </si>
  <si>
    <t>Гараж-стоянка</t>
  </si>
  <si>
    <t>Количество автомобилей</t>
  </si>
  <si>
    <t>Где искать</t>
  </si>
  <si>
    <t>Сооружения</t>
  </si>
  <si>
    <t>Столбец1</t>
  </si>
  <si>
    <t>Фильтр</t>
  </si>
  <si>
    <t>ВВЕДИТЕ НАЗВАНИЕ СООРУЖЕНИЯ</t>
  </si>
  <si>
    <t>Возможно указать СБЦ</t>
  </si>
  <si>
    <t>Возможно ввести часть названия и далее выбрать из предложенного выпадающего списка*</t>
  </si>
  <si>
    <t>* Поиск находит сочетание букв заданные в запросе. При совпадении, указывает возможные варианты в выпадающем списке.</t>
  </si>
  <si>
    <t>Туалет</t>
  </si>
  <si>
    <t>Количество мест</t>
  </si>
  <si>
    <t>ИСКУССТВЕННЫЕ_СООРУЖЕНИЯ_МОСТЫ_ПЕРЕХОДЫ_ПУТЕПРОВОДЫ</t>
  </si>
  <si>
    <t>Средняя стоимость ч.ч.</t>
  </si>
  <si>
    <t>Воздушные линии (ВЛ) электропередачи напряжением 35 - 110 кВ</t>
  </si>
  <si>
    <t>ВЛ (Воздушные линии) электропередачи 20 кВ</t>
  </si>
  <si>
    <t>ВЛ (Воздушные линии) электропередачи 35 кВ</t>
  </si>
  <si>
    <t>ВЛ (Воздушные линии) электропередачи 110-750 кВ</t>
  </si>
  <si>
    <t>Воздушные линии (ВЛ) электропередачи напряжением 35 - 1150 кВ</t>
  </si>
  <si>
    <t>ВЛ ((Воздушные линии) электропередачи 20 кВ</t>
  </si>
  <si>
    <t>ПРЕДПРИЯТИЯ_АГРОПРОМЫШЛЕННОГО_КОМПЛЕКСА,ТОРГОВЛИ_И_ОБЩЕСТВЕННОГО_ПИТАНИЯ</t>
  </si>
  <si>
    <t>Защитные сооружения гражданской обороны (убежища)</t>
  </si>
  <si>
    <t>Столовая</t>
  </si>
  <si>
    <t>посадочных мест</t>
  </si>
  <si>
    <t>Столовые</t>
  </si>
  <si>
    <t>Лаборатория</t>
  </si>
  <si>
    <t>Форма сбора исходных данных для составления смет на проектные работы</t>
  </si>
  <si>
    <t>№</t>
  </si>
  <si>
    <t>Номер и наименование титульного сооружения (заполняется в случае наличия присвоенного номера)</t>
  </si>
  <si>
    <t>Наименование сооружения/работ</t>
  </si>
  <si>
    <t>Ед.изм.</t>
  </si>
  <si>
    <t>Кол-во</t>
  </si>
  <si>
    <t>Усложняющие факторы (сейсмичность, в подтапливаемых районах и т.д.), разделы, к разработке которых установлены особые требования</t>
  </si>
  <si>
    <t>Дополнительные исходные данные, влияющие на цену; ценообразующие коэффициенты</t>
  </si>
  <si>
    <t>Применение повторно-применяемых проектных решений (указать % переработки, относительно какого титульного сооружения)</t>
  </si>
  <si>
    <t>Разделы документации включаемые в объектно-ориентированную параметрическую трехмерную модель для видов документации:
- Проектная документация (П)
- Рабочая документация (Р)</t>
  </si>
  <si>
    <t>Пункт ЗП/ТЗ, к которому относится сооружение и работа или ссылка на том документации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</si>
  <si>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2</t>
    </r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</si>
  <si>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3</t>
    </r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</si>
  <si>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4</t>
    </r>
  </si>
  <si>
    <t>Общая стоимость работы (стр.1)</t>
  </si>
  <si>
    <t>ххх</t>
  </si>
  <si>
    <t>ООО "Новые ресурсы"</t>
  </si>
  <si>
    <t>Выполнение научно – технического сопровождения проектной документации по проекту «Строительство сливной и наливной эстакад для перевалки СУГ в вагон-цистерны АО «СибурТюменьГаз»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</si>
</sst>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_-* #,##0_р_._-;\-* #,##0_р_._-;_-* &quot;-&quot;_р_._-;_-@_-"/>
    <numFmt numFmtId="166" formatCode="#,##0.000"/>
  </numFmts>
  <fonts count="35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color rgb="FF00000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Courier"/>
      <family val="3"/>
    </font>
    <font>
      <sz val="10"/>
      <name val="Times New Roman Cyr"/>
      <family val="1"/>
      <charset val="204"/>
    </font>
    <font>
      <sz val="10"/>
      <name val="Courier New Cyr"/>
      <charset val="204"/>
    </font>
    <font>
      <b/>
      <i/>
      <sz val="10"/>
      <name val="Times New Roman Cyr"/>
      <charset val="204"/>
    </font>
    <font>
      <i/>
      <sz val="10"/>
      <name val="Times New Roman Cyr"/>
      <charset val="204"/>
    </font>
    <font>
      <b/>
      <sz val="10"/>
      <name val="Times New Roman Cyr"/>
      <family val="1"/>
      <charset val="204"/>
    </font>
    <font>
      <b/>
      <sz val="11"/>
      <name val="Times New Roman Cyr"/>
      <family val="1"/>
      <charset val="204"/>
    </font>
    <font>
      <b/>
      <i/>
      <sz val="10"/>
      <name val="Times New Roman Cyr"/>
      <family val="1"/>
      <charset val="204"/>
    </font>
    <font>
      <sz val="10"/>
      <name val="Courier"/>
      <family val="1"/>
      <charset val="204"/>
    </font>
    <font>
      <sz val="10"/>
      <name val="Arial Cyr"/>
      <charset val="204"/>
    </font>
    <font>
      <sz val="10"/>
      <name val="Times New Roman CYR"/>
      <charset val="204"/>
    </font>
    <font>
      <b/>
      <sz val="10"/>
      <name val="Times New Roman Cyr"/>
      <charset val="204"/>
    </font>
    <font>
      <sz val="12"/>
      <color rgb="FFFF0000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2"/>
      <color rgb="FF002060"/>
      <name val="Times New Roman"/>
      <family val="1"/>
      <charset val="204"/>
    </font>
    <font>
      <sz val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i/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7F0FD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1" fillId="0" borderId="0"/>
    <xf numFmtId="0" fontId="1" fillId="0" borderId="0"/>
    <xf numFmtId="0" fontId="6" fillId="0" borderId="0"/>
    <xf numFmtId="0" fontId="8" fillId="0" borderId="0"/>
    <xf numFmtId="0" fontId="14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5" fillId="0" borderId="0"/>
    <xf numFmtId="0" fontId="27" fillId="0" borderId="0"/>
    <xf numFmtId="0" fontId="27" fillId="0" borderId="0"/>
    <xf numFmtId="0" fontId="27" fillId="0" borderId="0"/>
  </cellStyleXfs>
  <cellXfs count="28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/>
    <xf numFmtId="0" fontId="7" fillId="0" borderId="0" xfId="3" applyFont="1"/>
    <xf numFmtId="0" fontId="9" fillId="0" borderId="0" xfId="4" applyFont="1" applyAlignment="1">
      <alignment vertical="center"/>
    </xf>
    <xf numFmtId="0" fontId="7" fillId="0" borderId="0" xfId="3" quotePrefix="1" applyFont="1"/>
    <xf numFmtId="2" fontId="7" fillId="0" borderId="0" xfId="3" applyNumberFormat="1" applyFont="1"/>
    <xf numFmtId="0" fontId="7" fillId="0" borderId="0" xfId="3" applyFont="1" applyAlignment="1">
      <alignment horizontal="left"/>
    </xf>
    <xf numFmtId="0" fontId="7" fillId="0" borderId="0" xfId="3" quotePrefix="1" applyFont="1" applyAlignment="1">
      <alignment horizontal="left"/>
    </xf>
    <xf numFmtId="0" fontId="7" fillId="0" borderId="0" xfId="3" applyFont="1" applyAlignment="1">
      <alignment horizontal="left" vertical="top"/>
    </xf>
    <xf numFmtId="0" fontId="13" fillId="0" borderId="0" xfId="3" applyFont="1" applyAlignment="1" applyProtection="1">
      <alignment horizontal="left"/>
      <protection locked="0"/>
    </xf>
    <xf numFmtId="2" fontId="11" fillId="0" borderId="0" xfId="3" applyNumberFormat="1" applyFont="1"/>
    <xf numFmtId="0" fontId="7" fillId="0" borderId="0" xfId="4" applyFont="1" applyAlignment="1">
      <alignment vertical="top"/>
    </xf>
    <xf numFmtId="0" fontId="13" fillId="0" borderId="0" xfId="3" applyFont="1"/>
    <xf numFmtId="2" fontId="13" fillId="0" borderId="0" xfId="3" applyNumberFormat="1" applyFont="1"/>
    <xf numFmtId="0" fontId="7" fillId="0" borderId="0" xfId="5" applyFont="1" applyAlignment="1">
      <alignment horizontal="left" vertical="top"/>
    </xf>
    <xf numFmtId="0" fontId="13" fillId="0" borderId="0" xfId="3" applyFont="1" applyAlignment="1">
      <alignment vertical="top"/>
    </xf>
    <xf numFmtId="0" fontId="15" fillId="0" borderId="0" xfId="6"/>
    <xf numFmtId="0" fontId="9" fillId="0" borderId="0" xfId="3" applyFont="1"/>
    <xf numFmtId="0" fontId="7" fillId="0" borderId="0" xfId="3" applyFont="1" applyAlignment="1">
      <alignment horizontal="center"/>
    </xf>
    <xf numFmtId="0" fontId="11" fillId="0" borderId="0" xfId="0" applyFont="1" applyAlignment="1">
      <alignment horizontal="right"/>
    </xf>
    <xf numFmtId="164" fontId="7" fillId="0" borderId="0" xfId="5" applyNumberFormat="1" applyFont="1" applyAlignment="1">
      <alignment horizontal="left"/>
    </xf>
    <xf numFmtId="3" fontId="16" fillId="0" borderId="0" xfId="5" applyNumberFormat="1" applyFont="1" applyAlignment="1">
      <alignment horizontal="right"/>
    </xf>
    <xf numFmtId="0" fontId="7" fillId="0" borderId="0" xfId="5" applyFont="1"/>
    <xf numFmtId="2" fontId="7" fillId="0" borderId="0" xfId="7" applyNumberFormat="1" applyFont="1"/>
    <xf numFmtId="1" fontId="7" fillId="0" borderId="0" xfId="5" applyNumberFormat="1" applyFont="1"/>
    <xf numFmtId="1" fontId="17" fillId="0" borderId="0" xfId="8" applyNumberFormat="1" applyFont="1"/>
    <xf numFmtId="0" fontId="17" fillId="0" borderId="0" xfId="7" applyFont="1"/>
    <xf numFmtId="0" fontId="17" fillId="0" borderId="0" xfId="3" applyFont="1"/>
    <xf numFmtId="0" fontId="17" fillId="0" borderId="0" xfId="9" applyFont="1"/>
    <xf numFmtId="1" fontId="16" fillId="0" borderId="0" xfId="8" applyNumberFormat="1" applyFont="1" applyAlignment="1">
      <alignment horizontal="center"/>
    </xf>
    <xf numFmtId="0" fontId="16" fillId="0" borderId="0" xfId="6" applyFont="1"/>
    <xf numFmtId="0" fontId="7" fillId="0" borderId="0" xfId="7" applyFont="1"/>
    <xf numFmtId="1" fontId="10" fillId="0" borderId="0" xfId="8" applyNumberFormat="1" applyFont="1"/>
    <xf numFmtId="49" fontId="5" fillId="0" borderId="0" xfId="10" applyNumberFormat="1" applyFont="1"/>
    <xf numFmtId="0" fontId="5" fillId="0" borderId="0" xfId="10" applyFont="1"/>
    <xf numFmtId="0" fontId="5" fillId="0" borderId="0" xfId="10" applyFont="1" applyAlignment="1">
      <alignment horizontal="right"/>
    </xf>
    <xf numFmtId="4" fontId="5" fillId="0" borderId="0" xfId="10" applyNumberFormat="1" applyFont="1"/>
    <xf numFmtId="0" fontId="18" fillId="0" borderId="0" xfId="10" applyFont="1"/>
    <xf numFmtId="0" fontId="5" fillId="0" borderId="0" xfId="10" applyFont="1" applyAlignment="1">
      <alignment horizontal="left"/>
    </xf>
    <xf numFmtId="0" fontId="18" fillId="0" borderId="0" xfId="10" applyFont="1" applyAlignment="1">
      <alignment horizontal="left"/>
    </xf>
    <xf numFmtId="0" fontId="4" fillId="0" borderId="0" xfId="10" applyFont="1" applyAlignment="1">
      <alignment horizontal="left"/>
    </xf>
    <xf numFmtId="0" fontId="4" fillId="0" borderId="0" xfId="10" applyFont="1"/>
    <xf numFmtId="4" fontId="5" fillId="0" borderId="0" xfId="10" applyNumberFormat="1" applyFont="1" applyAlignment="1">
      <alignment vertical="top"/>
    </xf>
    <xf numFmtId="0" fontId="5" fillId="0" borderId="0" xfId="10" applyFont="1" applyAlignment="1">
      <alignment vertical="top"/>
    </xf>
    <xf numFmtId="49" fontId="4" fillId="0" borderId="5" xfId="10" applyNumberFormat="1" applyFont="1" applyBorder="1" applyAlignment="1">
      <alignment horizontal="center"/>
    </xf>
    <xf numFmtId="0" fontId="4" fillId="0" borderId="1" xfId="10" applyFont="1" applyBorder="1" applyAlignment="1">
      <alignment horizontal="center"/>
    </xf>
    <xf numFmtId="0" fontId="5" fillId="0" borderId="1" xfId="10" applyFont="1" applyBorder="1" applyAlignment="1">
      <alignment horizontal="left"/>
    </xf>
    <xf numFmtId="1" fontId="5" fillId="0" borderId="1" xfId="10" applyNumberFormat="1" applyFont="1" applyBorder="1" applyAlignment="1">
      <alignment horizontal="center"/>
    </xf>
    <xf numFmtId="0" fontId="2" fillId="0" borderId="1" xfId="10" applyFont="1" applyBorder="1" applyAlignment="1">
      <alignment horizontal="center"/>
    </xf>
    <xf numFmtId="0" fontId="5" fillId="0" borderId="1" xfId="10" applyFont="1" applyBorder="1" applyAlignment="1">
      <alignment horizontal="center"/>
    </xf>
    <xf numFmtId="165" fontId="5" fillId="0" borderId="1" xfId="10" applyNumberFormat="1" applyFont="1" applyBorder="1" applyAlignment="1">
      <alignment horizontal="center"/>
    </xf>
    <xf numFmtId="4" fontId="5" fillId="0" borderId="0" xfId="10" applyNumberFormat="1" applyFont="1" applyAlignment="1">
      <alignment horizontal="center"/>
    </xf>
    <xf numFmtId="49" fontId="5" fillId="0" borderId="5" xfId="10" applyNumberFormat="1" applyFont="1" applyBorder="1"/>
    <xf numFmtId="164" fontId="4" fillId="0" borderId="6" xfId="10" applyNumberFormat="1" applyFont="1" applyBorder="1" applyAlignment="1">
      <alignment horizontal="right"/>
    </xf>
    <xf numFmtId="3" fontId="4" fillId="0" borderId="2" xfId="10" applyNumberFormat="1" applyFont="1" applyBorder="1" applyAlignment="1">
      <alignment horizontal="right"/>
    </xf>
    <xf numFmtId="49" fontId="5" fillId="0" borderId="5" xfId="10" applyNumberFormat="1" applyFont="1" applyBorder="1" applyAlignment="1">
      <alignment wrapText="1"/>
    </xf>
    <xf numFmtId="0" fontId="4" fillId="0" borderId="5" xfId="10" applyFont="1" applyBorder="1" applyAlignment="1">
      <alignment horizontal="center" vertical="top" wrapText="1"/>
    </xf>
    <xf numFmtId="49" fontId="5" fillId="0" borderId="5" xfId="10" applyNumberFormat="1" applyFont="1" applyBorder="1" applyAlignment="1">
      <alignment horizontal="center"/>
    </xf>
    <xf numFmtId="49" fontId="5" fillId="0" borderId="1" xfId="10" applyNumberFormat="1" applyFont="1" applyBorder="1" applyAlignment="1">
      <alignment horizontal="center" vertical="top"/>
    </xf>
    <xf numFmtId="0" fontId="5" fillId="0" borderId="5" xfId="10" applyFont="1" applyBorder="1" applyAlignment="1">
      <alignment horizontal="center" vertical="top"/>
    </xf>
    <xf numFmtId="4" fontId="5" fillId="0" borderId="1" xfId="10" applyNumberFormat="1" applyFont="1" applyBorder="1" applyAlignment="1">
      <alignment horizontal="right" vertical="top"/>
    </xf>
    <xf numFmtId="166" fontId="5" fillId="0" borderId="0" xfId="10" applyNumberFormat="1" applyFont="1"/>
    <xf numFmtId="4" fontId="4" fillId="0" borderId="1" xfId="10" applyNumberFormat="1" applyFont="1" applyBorder="1" applyAlignment="1">
      <alignment vertical="top"/>
    </xf>
    <xf numFmtId="49" fontId="5" fillId="0" borderId="0" xfId="10" applyNumberFormat="1" applyFont="1" applyAlignment="1">
      <alignment horizontal="center" vertical="top"/>
    </xf>
    <xf numFmtId="0" fontId="5" fillId="0" borderId="0" xfId="10" applyFont="1" applyAlignment="1">
      <alignment horizontal="left" vertical="top"/>
    </xf>
    <xf numFmtId="0" fontId="5" fillId="0" borderId="0" xfId="10" applyFont="1" applyAlignment="1">
      <alignment horizontal="center" vertical="top"/>
    </xf>
    <xf numFmtId="4" fontId="4" fillId="0" borderId="0" xfId="10" applyNumberFormat="1" applyFont="1" applyAlignment="1">
      <alignment vertical="top"/>
    </xf>
    <xf numFmtId="0" fontId="4" fillId="0" borderId="0" xfId="10" applyFont="1" applyAlignment="1">
      <alignment horizontal="left" vertical="top"/>
    </xf>
    <xf numFmtId="3" fontId="5" fillId="0" borderId="0" xfId="1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 wrapText="1"/>
    </xf>
    <xf numFmtId="49" fontId="5" fillId="0" borderId="1" xfId="2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 wrapText="1"/>
    </xf>
    <xf numFmtId="49" fontId="4" fillId="0" borderId="1" xfId="2" applyNumberFormat="1" applyFont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5" xfId="10" applyFont="1" applyFill="1" applyBorder="1" applyAlignment="1">
      <alignment horizontal="center" vertical="top"/>
    </xf>
    <xf numFmtId="4" fontId="4" fillId="0" borderId="1" xfId="10" applyNumberFormat="1" applyFont="1" applyFill="1" applyBorder="1" applyAlignment="1">
      <alignment vertical="top"/>
    </xf>
    <xf numFmtId="49" fontId="24" fillId="0" borderId="1" xfId="0" applyNumberFormat="1" applyFont="1" applyBorder="1" applyAlignment="1">
      <alignment horizontal="right" vertical="top" wrapText="1"/>
    </xf>
    <xf numFmtId="0" fontId="25" fillId="0" borderId="14" xfId="0" applyNumberFormat="1" applyFont="1" applyBorder="1" applyAlignment="1">
      <alignment horizontal="center" vertical="top" wrapText="1"/>
    </xf>
    <xf numFmtId="0" fontId="26" fillId="0" borderId="14" xfId="0" applyNumberFormat="1" applyFont="1" applyBorder="1" applyAlignment="1">
      <alignment horizontal="center" vertical="top" wrapText="1"/>
    </xf>
    <xf numFmtId="49" fontId="0" fillId="0" borderId="18" xfId="0" applyNumberFormat="1" applyFont="1" applyBorder="1" applyAlignment="1">
      <alignment horizontal="center" wrapText="1"/>
    </xf>
    <xf numFmtId="0" fontId="0" fillId="0" borderId="18" xfId="0" applyNumberFormat="1" applyFont="1" applyBorder="1" applyAlignment="1">
      <alignment horizontal="center" wrapText="1"/>
    </xf>
    <xf numFmtId="0" fontId="0" fillId="0" borderId="1" xfId="0" applyNumberFormat="1" applyFont="1" applyBorder="1" applyAlignment="1">
      <alignment horizontal="left" vertical="top" wrapText="1"/>
    </xf>
    <xf numFmtId="4" fontId="0" fillId="0" borderId="1" xfId="0" applyNumberFormat="1" applyFont="1" applyBorder="1" applyAlignment="1">
      <alignment horizontal="right" vertical="top" wrapText="1"/>
    </xf>
    <xf numFmtId="0" fontId="22" fillId="2" borderId="0" xfId="0" applyFont="1" applyFill="1" applyBorder="1" applyAlignment="1">
      <alignment vertical="center" wrapText="1"/>
    </xf>
    <xf numFmtId="0" fontId="2" fillId="0" borderId="9" xfId="0" applyFont="1" applyBorder="1" applyAlignment="1"/>
    <xf numFmtId="0" fontId="22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  <xf numFmtId="0" fontId="2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4" fontId="20" fillId="0" borderId="0" xfId="10" applyNumberFormat="1" applyFont="1" applyAlignment="1">
      <alignment horizontal="left" vertical="top" wrapText="1"/>
    </xf>
    <xf numFmtId="0" fontId="5" fillId="0" borderId="5" xfId="10" applyFont="1" applyBorder="1" applyAlignment="1">
      <alignment horizontal="center"/>
    </xf>
    <xf numFmtId="0" fontId="4" fillId="0" borderId="1" xfId="10" applyFont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0" xfId="0" applyBorder="1" applyAlignment="1">
      <alignment horizontal="center" wrapText="1"/>
    </xf>
    <xf numFmtId="0" fontId="0" fillId="0" borderId="5" xfId="0" applyFill="1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30" fillId="0" borderId="1" xfId="0" applyFont="1" applyBorder="1" applyAlignment="1">
      <alignment horizontal="justify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3" xfId="0" applyFill="1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0" xfId="0" applyNumberFormat="1"/>
    <xf numFmtId="0" fontId="28" fillId="0" borderId="23" xfId="0" applyFont="1" applyBorder="1" applyAlignment="1">
      <alignment horizontal="center" vertical="center"/>
    </xf>
    <xf numFmtId="0" fontId="0" fillId="0" borderId="24" xfId="0" applyBorder="1"/>
    <xf numFmtId="0" fontId="0" fillId="0" borderId="26" xfId="0" applyBorder="1" applyAlignment="1">
      <alignment wrapText="1"/>
    </xf>
    <xf numFmtId="0" fontId="0" fillId="3" borderId="25" xfId="0" applyFill="1" applyBorder="1" applyAlignment="1">
      <alignment horizontal="left" vertical="center" wrapText="1"/>
    </xf>
    <xf numFmtId="0" fontId="0" fillId="0" borderId="5" xfId="0" applyFill="1" applyBorder="1"/>
    <xf numFmtId="0" fontId="31" fillId="0" borderId="1" xfId="0" applyFont="1" applyBorder="1"/>
    <xf numFmtId="0" fontId="0" fillId="0" borderId="8" xfId="0" applyFill="1" applyBorder="1" applyAlignment="1">
      <alignment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vertical="center" wrapText="1"/>
    </xf>
    <xf numFmtId="0" fontId="32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32" fillId="0" borderId="0" xfId="0" applyFont="1" applyFill="1" applyAlignment="1">
      <alignment horizontal="center" vertical="center"/>
    </xf>
    <xf numFmtId="0" fontId="32" fillId="0" borderId="0" xfId="0" applyFont="1" applyFill="1"/>
    <xf numFmtId="0" fontId="32" fillId="0" borderId="0" xfId="0" applyFont="1" applyFill="1" applyAlignment="1">
      <alignment horizontal="center"/>
    </xf>
    <xf numFmtId="0" fontId="32" fillId="0" borderId="30" xfId="0" applyFont="1" applyFill="1" applyBorder="1" applyAlignment="1">
      <alignment horizontal="center" vertical="center" wrapText="1"/>
    </xf>
    <xf numFmtId="0" fontId="32" fillId="0" borderId="22" xfId="0" applyFont="1" applyFill="1" applyBorder="1" applyAlignment="1">
      <alignment horizontal="center" vertical="center" wrapText="1"/>
    </xf>
    <xf numFmtId="0" fontId="32" fillId="0" borderId="31" xfId="0" applyFont="1" applyFill="1" applyBorder="1" applyAlignment="1">
      <alignment horizontal="center" vertical="center" wrapText="1"/>
    </xf>
    <xf numFmtId="0" fontId="34" fillId="0" borderId="25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left" vertical="center" wrapText="1" indent="1"/>
    </xf>
    <xf numFmtId="0" fontId="32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vertical="center"/>
    </xf>
    <xf numFmtId="0" fontId="32" fillId="0" borderId="5" xfId="0" applyFont="1" applyFill="1" applyBorder="1" applyAlignment="1">
      <alignment vertical="center"/>
    </xf>
    <xf numFmtId="0" fontId="32" fillId="0" borderId="32" xfId="0" applyFont="1" applyFill="1" applyBorder="1" applyAlignment="1">
      <alignment vertical="center"/>
    </xf>
    <xf numFmtId="0" fontId="34" fillId="0" borderId="33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2" fillId="0" borderId="34" xfId="0" applyFont="1" applyFill="1" applyBorder="1"/>
    <xf numFmtId="0" fontId="32" fillId="0" borderId="35" xfId="0" applyFont="1" applyFill="1" applyBorder="1"/>
    <xf numFmtId="0" fontId="32" fillId="0" borderId="36" xfId="0" applyFont="1" applyFill="1" applyBorder="1"/>
    <xf numFmtId="1" fontId="32" fillId="0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vertical="top" wrapText="1"/>
    </xf>
    <xf numFmtId="0" fontId="2" fillId="0" borderId="0" xfId="0" applyFont="1" applyAlignment="1">
      <alignment horizontal="left" vertical="center" wrapText="1" inden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2" borderId="5" xfId="0" applyFont="1" applyFill="1" applyBorder="1" applyAlignment="1">
      <alignment horizontal="left" vertical="center" wrapText="1"/>
    </xf>
    <xf numFmtId="0" fontId="22" fillId="2" borderId="6" xfId="0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33" fillId="0" borderId="0" xfId="0" applyFont="1" applyFill="1" applyAlignment="1">
      <alignment horizontal="center" vertical="center" wrapText="1"/>
    </xf>
    <xf numFmtId="0" fontId="33" fillId="0" borderId="0" xfId="0" applyFont="1" applyFill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28" fillId="4" borderId="23" xfId="0" applyFont="1" applyFill="1" applyBorder="1" applyAlignment="1">
      <alignment horizontal="center" vertical="center"/>
    </xf>
    <xf numFmtId="0" fontId="28" fillId="4" borderId="24" xfId="0" applyFont="1" applyFill="1" applyBorder="1" applyAlignment="1">
      <alignment horizontal="center" vertical="center"/>
    </xf>
    <xf numFmtId="0" fontId="28" fillId="4" borderId="28" xfId="0" applyFont="1" applyFill="1" applyBorder="1" applyAlignment="1">
      <alignment horizontal="center" vertical="center"/>
    </xf>
    <xf numFmtId="0" fontId="28" fillId="4" borderId="29" xfId="0" applyFont="1" applyFill="1" applyBorder="1" applyAlignment="1">
      <alignment horizontal="center" vertical="center"/>
    </xf>
    <xf numFmtId="0" fontId="11" fillId="0" borderId="0" xfId="3" quotePrefix="1" applyFont="1" applyAlignment="1">
      <alignment horizontal="center"/>
    </xf>
    <xf numFmtId="0" fontId="7" fillId="0" borderId="0" xfId="3" applyFont="1" applyAlignment="1" applyProtection="1">
      <alignment horizontal="center"/>
      <protection locked="0"/>
    </xf>
    <xf numFmtId="0" fontId="7" fillId="0" borderId="0" xfId="3" quotePrefix="1" applyFont="1" applyAlignment="1" applyProtection="1">
      <alignment horizontal="center"/>
      <protection locked="0"/>
    </xf>
    <xf numFmtId="0" fontId="12" fillId="0" borderId="0" xfId="3" applyFont="1" applyAlignment="1" applyProtection="1">
      <alignment horizontal="left" vertical="top" wrapText="1"/>
      <protection locked="0"/>
    </xf>
    <xf numFmtId="0" fontId="24" fillId="0" borderId="5" xfId="0" applyNumberFormat="1" applyFont="1" applyBorder="1" applyAlignment="1">
      <alignment horizontal="left" vertical="top" wrapText="1"/>
    </xf>
    <xf numFmtId="0" fontId="24" fillId="0" borderId="2" xfId="0" applyNumberFormat="1" applyFont="1" applyBorder="1" applyAlignment="1">
      <alignment horizontal="left" vertical="top" wrapText="1"/>
    </xf>
    <xf numFmtId="0" fontId="24" fillId="0" borderId="5" xfId="0" applyNumberFormat="1" applyFont="1" applyBorder="1" applyAlignment="1">
      <alignment horizontal="center" vertical="top" wrapText="1"/>
    </xf>
    <xf numFmtId="0" fontId="24" fillId="0" borderId="6" xfId="0" applyNumberFormat="1" applyFont="1" applyBorder="1" applyAlignment="1">
      <alignment horizontal="center" vertical="top" wrapText="1"/>
    </xf>
    <xf numFmtId="0" fontId="24" fillId="0" borderId="2" xfId="0" applyNumberFormat="1" applyFont="1" applyBorder="1" applyAlignment="1">
      <alignment horizontal="center" vertical="top" wrapText="1"/>
    </xf>
    <xf numFmtId="0" fontId="25" fillId="0" borderId="15" xfId="0" applyNumberFormat="1" applyFont="1" applyBorder="1" applyAlignment="1">
      <alignment horizontal="center" vertical="top" wrapText="1"/>
    </xf>
    <xf numFmtId="0" fontId="25" fillId="0" borderId="16" xfId="0" applyNumberFormat="1" applyFont="1" applyBorder="1" applyAlignment="1">
      <alignment horizontal="center" vertical="top" wrapText="1"/>
    </xf>
    <xf numFmtId="0" fontId="25" fillId="0" borderId="17" xfId="0" applyNumberFormat="1" applyFont="1" applyBorder="1" applyAlignment="1">
      <alignment horizontal="center" vertical="top" wrapText="1"/>
    </xf>
    <xf numFmtId="0" fontId="0" fillId="0" borderId="19" xfId="0" applyNumberFormat="1" applyFont="1" applyBorder="1" applyAlignment="1">
      <alignment horizontal="center" wrapText="1"/>
    </xf>
    <xf numFmtId="0" fontId="0" fillId="0" borderId="20" xfId="0" applyNumberFormat="1" applyFont="1" applyBorder="1" applyAlignment="1">
      <alignment horizontal="center" wrapText="1"/>
    </xf>
    <xf numFmtId="0" fontId="0" fillId="0" borderId="21" xfId="0" applyNumberFormat="1" applyFont="1" applyBorder="1" applyAlignment="1">
      <alignment horizontal="center" wrapText="1"/>
    </xf>
    <xf numFmtId="0" fontId="24" fillId="0" borderId="1" xfId="0" applyNumberFormat="1" applyFont="1" applyBorder="1" applyAlignment="1">
      <alignment horizontal="left" vertical="top" wrapText="1"/>
    </xf>
    <xf numFmtId="0" fontId="0" fillId="0" borderId="1" xfId="0" applyNumberFormat="1" applyFont="1" applyBorder="1" applyAlignment="1">
      <alignment horizontal="left" vertical="top" wrapText="1"/>
    </xf>
    <xf numFmtId="49" fontId="4" fillId="0" borderId="3" xfId="10" applyNumberFormat="1" applyFont="1" applyBorder="1" applyAlignment="1">
      <alignment horizontal="center" vertical="top" wrapText="1"/>
    </xf>
    <xf numFmtId="49" fontId="4" fillId="0" borderId="8" xfId="10" applyNumberFormat="1" applyFont="1" applyBorder="1" applyAlignment="1">
      <alignment horizontal="center" vertical="top" wrapText="1"/>
    </xf>
    <xf numFmtId="49" fontId="4" fillId="0" borderId="4" xfId="10" applyNumberFormat="1" applyFont="1" applyBorder="1" applyAlignment="1">
      <alignment horizontal="center" vertical="top" wrapText="1"/>
    </xf>
    <xf numFmtId="0" fontId="4" fillId="0" borderId="3" xfId="10" applyFont="1" applyBorder="1" applyAlignment="1">
      <alignment horizontal="center" vertical="top" wrapText="1"/>
    </xf>
    <xf numFmtId="0" fontId="4" fillId="0" borderId="8" xfId="10" applyFont="1" applyBorder="1" applyAlignment="1">
      <alignment horizontal="center" vertical="top" wrapText="1"/>
    </xf>
    <xf numFmtId="0" fontId="4" fillId="0" borderId="4" xfId="10" applyFont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/>
    </xf>
    <xf numFmtId="0" fontId="4" fillId="0" borderId="1" xfId="10" applyFont="1" applyBorder="1" applyAlignment="1">
      <alignment horizontal="center" vertical="top" wrapText="1"/>
    </xf>
    <xf numFmtId="0" fontId="4" fillId="0" borderId="3" xfId="10" applyFont="1" applyBorder="1" applyAlignment="1">
      <alignment horizontal="center" vertical="top"/>
    </xf>
    <xf numFmtId="0" fontId="4" fillId="0" borderId="4" xfId="10" applyFont="1" applyBorder="1" applyAlignment="1">
      <alignment horizontal="center" vertical="top"/>
    </xf>
    <xf numFmtId="0" fontId="4" fillId="0" borderId="7" xfId="10" applyFont="1" applyBorder="1" applyAlignment="1">
      <alignment horizontal="center" wrapText="1"/>
    </xf>
    <xf numFmtId="0" fontId="4" fillId="0" borderId="10" xfId="10" applyFont="1" applyBorder="1" applyAlignment="1">
      <alignment horizontal="center"/>
    </xf>
    <xf numFmtId="0" fontId="4" fillId="0" borderId="11" xfId="10" applyFont="1" applyBorder="1" applyAlignment="1">
      <alignment horizontal="center"/>
    </xf>
    <xf numFmtId="49" fontId="5" fillId="0" borderId="3" xfId="10" applyNumberFormat="1" applyFont="1" applyBorder="1" applyAlignment="1">
      <alignment horizontal="center" vertical="top"/>
    </xf>
    <xf numFmtId="49" fontId="5" fillId="0" borderId="8" xfId="10" applyNumberFormat="1" applyFont="1" applyBorder="1" applyAlignment="1">
      <alignment horizontal="center" vertical="top"/>
    </xf>
    <xf numFmtId="49" fontId="5" fillId="0" borderId="4" xfId="10" applyNumberFormat="1" applyFont="1" applyBorder="1" applyAlignment="1">
      <alignment horizontal="center" vertical="top"/>
    </xf>
    <xf numFmtId="0" fontId="29" fillId="0" borderId="1" xfId="10" applyFont="1" applyBorder="1" applyAlignment="1">
      <alignment horizontal="center" vertical="center" wrapText="1"/>
    </xf>
    <xf numFmtId="0" fontId="5" fillId="0" borderId="1" xfId="10" applyFont="1" applyBorder="1" applyAlignment="1">
      <alignment horizontal="center" vertical="center" wrapText="1"/>
    </xf>
    <xf numFmtId="4" fontId="20" fillId="0" borderId="0" xfId="10" applyNumberFormat="1" applyFont="1" applyAlignment="1">
      <alignment horizontal="left" vertical="top" wrapText="1"/>
    </xf>
    <xf numFmtId="0" fontId="5" fillId="0" borderId="6" xfId="10" applyFont="1" applyFill="1" applyBorder="1" applyAlignment="1">
      <alignment horizontal="left" vertical="top"/>
    </xf>
    <xf numFmtId="0" fontId="5" fillId="0" borderId="6" xfId="10" applyFont="1" applyBorder="1" applyAlignment="1">
      <alignment horizontal="left" vertical="top"/>
    </xf>
    <xf numFmtId="0" fontId="4" fillId="0" borderId="6" xfId="10" applyFont="1" applyBorder="1" applyAlignment="1">
      <alignment vertical="top" wrapText="1"/>
    </xf>
    <xf numFmtId="0" fontId="4" fillId="0" borderId="0" xfId="10" applyFont="1" applyAlignment="1">
      <alignment horizontal="center"/>
    </xf>
    <xf numFmtId="0" fontId="4" fillId="0" borderId="5" xfId="10" applyFont="1" applyBorder="1" applyAlignment="1">
      <alignment horizontal="center" vertical="top"/>
    </xf>
    <xf numFmtId="0" fontId="4" fillId="0" borderId="6" xfId="10" applyFont="1" applyBorder="1" applyAlignment="1">
      <alignment horizontal="center" vertical="top"/>
    </xf>
    <xf numFmtId="0" fontId="4" fillId="0" borderId="2" xfId="10" applyFont="1" applyBorder="1" applyAlignment="1">
      <alignment horizontal="center" vertical="top"/>
    </xf>
    <xf numFmtId="0" fontId="5" fillId="0" borderId="5" xfId="10" applyFont="1" applyBorder="1" applyAlignment="1">
      <alignment horizontal="center"/>
    </xf>
    <xf numFmtId="0" fontId="5" fillId="0" borderId="6" xfId="10" applyFont="1" applyBorder="1" applyAlignment="1">
      <alignment horizontal="center"/>
    </xf>
    <xf numFmtId="0" fontId="5" fillId="0" borderId="2" xfId="10" applyFont="1" applyBorder="1" applyAlignment="1">
      <alignment horizontal="center"/>
    </xf>
    <xf numFmtId="0" fontId="5" fillId="0" borderId="5" xfId="10" applyFont="1" applyBorder="1" applyAlignment="1">
      <alignment horizontal="left" vertical="top"/>
    </xf>
    <xf numFmtId="0" fontId="5" fillId="0" borderId="2" xfId="10" applyFont="1" applyBorder="1" applyAlignment="1">
      <alignment horizontal="left" vertical="top"/>
    </xf>
    <xf numFmtId="0" fontId="5" fillId="0" borderId="0" xfId="10" applyFont="1" applyAlignment="1">
      <alignment horizontal="left" vertical="top" wrapText="1"/>
    </xf>
  </cellXfs>
  <cellStyles count="14">
    <cellStyle name="Обычный" xfId="0" builtinId="0"/>
    <cellStyle name="Обычный 10" xfId="10" xr:uid="{00000000-0005-0000-0000-000001000000}"/>
    <cellStyle name="Обычный 2" xfId="2" xr:uid="{00000000-0005-0000-0000-000002000000}"/>
    <cellStyle name="Обычный 2 2" xfId="12" xr:uid="{00000000-0005-0000-0000-000003000000}"/>
    <cellStyle name="Обычный 3" xfId="11" xr:uid="{00000000-0005-0000-0000-000004000000}"/>
    <cellStyle name="Обычный 3 2" xfId="13" xr:uid="{00000000-0005-0000-0000-000005000000}"/>
    <cellStyle name="Обычный 5" xfId="1" xr:uid="{00000000-0005-0000-0000-000006000000}"/>
    <cellStyle name="Обычный 8" xfId="6" xr:uid="{00000000-0005-0000-0000-000007000000}"/>
    <cellStyle name="Обычный_1080  сводный расчет" xfId="4" xr:uid="{00000000-0005-0000-0000-000008000000}"/>
    <cellStyle name="Обычный_6200_PRT 2 2" xfId="3" xr:uid="{00000000-0005-0000-0000-000009000000}"/>
    <cellStyle name="Обычный_6200_PRT 2 3" xfId="5" xr:uid="{00000000-0005-0000-0000-00000A000000}"/>
    <cellStyle name="Обычный_6200_PRT 2_2843  не готова без сумм ИИР" xfId="9" xr:uid="{00000000-0005-0000-0000-00000B000000}"/>
    <cellStyle name="Обычный_6200_PRT_2843  не готова без сумм ИИР 2" xfId="7" xr:uid="{00000000-0005-0000-0000-00000C000000}"/>
    <cellStyle name="Обычный_6273" xfId="8" xr:uid="{00000000-0005-0000-0000-00000D000000}"/>
  </cellStyles>
  <dxfs count="4"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D7F0FD"/>
      <color rgb="FF9B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bur\nipi\Users\ZhuchenkoDYu\AppData\Local\Microsoft\Windows\Temporary%20Internet%20Files\Content.Outlook\ZLP3U3U7\&#1050;&#1086;&#1087;&#1080;&#1103;%20&#1064;&#1072;&#1073;&#1083;&#1086;&#1085;%20&#1040;&#1057;&#1059;&#1058;&#1055;%20&#1055;&#1054;&#1057;&#1051;&#1045;&#1044;&#1053;&#1048;&#104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З на АСУТП"/>
      <sheetName val="АСУТП"/>
      <sheetName val="list-psd"/>
      <sheetName val="list-tz"/>
      <sheetName val="Лист1"/>
      <sheetName val="Копия Шаблон АСУТП ПОСЛЕДНИЙ"/>
      <sheetName val="СМ"/>
      <sheetName val="К"/>
      <sheetName val="Акт выбора"/>
      <sheetName val="Основные"/>
      <sheetName val="график"/>
    </sheetNames>
    <sheetDataSet>
      <sheetData sheetId="0"/>
      <sheetData sheetId="1"/>
      <sheetData sheetId="2">
        <row r="3">
          <cell r="A3" t="str">
            <v>Непрерывный</v>
          </cell>
        </row>
        <row r="4">
          <cell r="A4" t="str">
            <v>Полунепрерывный</v>
          </cell>
        </row>
        <row r="5">
          <cell r="A5" t="str">
            <v>Непрерывно-дискретный</v>
          </cell>
        </row>
        <row r="6">
          <cell r="A6" t="str">
            <v xml:space="preserve">Непрерывно-дискретный </v>
          </cell>
        </row>
        <row r="7">
          <cell r="A7" t="str">
            <v>Циклический</v>
          </cell>
        </row>
        <row r="8">
          <cell r="A8" t="str">
            <v>Дискретный</v>
          </cell>
        </row>
        <row r="11">
          <cell r="A11" t="str">
            <v>до 5</v>
          </cell>
        </row>
        <row r="12">
          <cell r="A12" t="str">
            <v>св. 5 до 10</v>
          </cell>
        </row>
        <row r="13">
          <cell r="A13" t="str">
            <v>св. 10 до 20</v>
          </cell>
        </row>
        <row r="14">
          <cell r="A14" t="str">
            <v>св. 20 до 35</v>
          </cell>
        </row>
        <row r="15">
          <cell r="A15" t="str">
            <v>св. 35 до 50</v>
          </cell>
        </row>
        <row r="16">
          <cell r="A16" t="str">
            <v>св. 50 до 70</v>
          </cell>
        </row>
        <row r="17">
          <cell r="A17" t="str">
            <v>св. 70 до 100</v>
          </cell>
        </row>
        <row r="18">
          <cell r="A18" t="str">
            <v>св. 100</v>
          </cell>
        </row>
        <row r="21">
          <cell r="A21" t="str">
            <v>I степень</v>
          </cell>
        </row>
        <row r="22">
          <cell r="A22" t="str">
            <v>II степень</v>
          </cell>
        </row>
        <row r="23">
          <cell r="A23" t="str">
            <v>III степень</v>
          </cell>
        </row>
        <row r="24">
          <cell r="A24" t="str">
            <v>IV степень</v>
          </cell>
        </row>
        <row r="27">
          <cell r="A27" t="str">
            <v>I степень</v>
          </cell>
        </row>
        <row r="28">
          <cell r="A28" t="str">
            <v>II степень</v>
          </cell>
        </row>
        <row r="29">
          <cell r="A29" t="str">
            <v>III степень</v>
          </cell>
        </row>
        <row r="30">
          <cell r="A30" t="str">
            <v xml:space="preserve">IV степень </v>
          </cell>
        </row>
        <row r="31">
          <cell r="A31" t="str">
            <v>V степень</v>
          </cell>
        </row>
        <row r="32">
          <cell r="A32" t="str">
            <v>VI степень</v>
          </cell>
        </row>
        <row r="33">
          <cell r="A33" t="str">
            <v>VII степень</v>
          </cell>
        </row>
        <row r="36">
          <cell r="A36" t="str">
            <v>Автоматизированный "ручной" режим</v>
          </cell>
        </row>
        <row r="37">
          <cell r="A37" t="str">
            <v>Автоматизированный режим "советчика"</v>
          </cell>
        </row>
        <row r="38">
          <cell r="A38" t="str">
            <v>Автоматизированный диалоговый режим</v>
          </cell>
        </row>
        <row r="39">
          <cell r="A39" t="str">
            <v>Автоматизированный режим косвенного управления</v>
          </cell>
        </row>
        <row r="40">
          <cell r="A40" t="str">
            <v>Автоматизированный режим прямого цифрового управления</v>
          </cell>
        </row>
        <row r="43">
          <cell r="A43" t="str">
            <v>до 20</v>
          </cell>
        </row>
        <row r="44">
          <cell r="A44" t="str">
            <v>св. 20 до 50</v>
          </cell>
        </row>
        <row r="45">
          <cell r="A45" t="str">
            <v>св. 50 до 100</v>
          </cell>
        </row>
        <row r="46">
          <cell r="A46" t="str">
            <v>св. 100 до 170</v>
          </cell>
        </row>
        <row r="47">
          <cell r="A47" t="str">
            <v>св. 170 до 250</v>
          </cell>
        </row>
        <row r="48">
          <cell r="A48" t="str">
            <v>св. 250 до 350</v>
          </cell>
        </row>
        <row r="49">
          <cell r="A49" t="str">
            <v>св. 350 до 470</v>
          </cell>
        </row>
        <row r="50">
          <cell r="A50" t="str">
            <v>св. 470 до 600</v>
          </cell>
        </row>
        <row r="51">
          <cell r="A51" t="str">
            <v>св. 600 до 800</v>
          </cell>
        </row>
        <row r="52">
          <cell r="A52" t="str">
            <v>св. 800 до 1000</v>
          </cell>
        </row>
        <row r="53">
          <cell r="A53" t="str">
            <v>св. 1000 до 1300</v>
          </cell>
        </row>
        <row r="54">
          <cell r="A54" t="str">
            <v>св. 1300 до 1600</v>
          </cell>
        </row>
        <row r="55">
          <cell r="A55" t="str">
            <v>св. 1600 до 2000</v>
          </cell>
        </row>
        <row r="56">
          <cell r="A56" t="str">
            <v>св. 2000</v>
          </cell>
        </row>
        <row r="59">
          <cell r="A59" t="str">
            <v>до 5</v>
          </cell>
        </row>
        <row r="60">
          <cell r="A60" t="str">
            <v>св. 5 до 10</v>
          </cell>
        </row>
        <row r="61">
          <cell r="A61" t="str">
            <v>св. 10 до 20</v>
          </cell>
        </row>
        <row r="62">
          <cell r="A62" t="str">
            <v>св. 20 до 40</v>
          </cell>
        </row>
        <row r="63">
          <cell r="A63" t="str">
            <v>св. 40 до 60</v>
          </cell>
        </row>
        <row r="64">
          <cell r="A64" t="str">
            <v>св. 60 до 90</v>
          </cell>
        </row>
        <row r="65">
          <cell r="A65" t="str">
            <v>св. 90 до 120</v>
          </cell>
        </row>
        <row r="66">
          <cell r="A66" t="str">
            <v>св. 120 до 160</v>
          </cell>
        </row>
        <row r="67">
          <cell r="A67" t="str">
            <v>св. 160 до 200</v>
          </cell>
        </row>
        <row r="68">
          <cell r="A68" t="str">
            <v>св. 200 до 250</v>
          </cell>
        </row>
        <row r="69">
          <cell r="A69" t="str">
            <v>св. 250 до 300</v>
          </cell>
        </row>
        <row r="70">
          <cell r="A70" t="str">
            <v>св. 300 до 350</v>
          </cell>
        </row>
        <row r="71">
          <cell r="A71" t="str">
            <v>св. 350 до 400</v>
          </cell>
        </row>
        <row r="72">
          <cell r="A72" t="str">
            <v>св. 400</v>
          </cell>
        </row>
      </sheetData>
      <sheetData sheetId="3">
        <row r="3">
          <cell r="A3" t="str">
            <v>I степень</v>
          </cell>
        </row>
        <row r="4">
          <cell r="A4" t="str">
            <v>II степень</v>
          </cell>
        </row>
        <row r="5">
          <cell r="A5" t="str">
            <v>III степень</v>
          </cell>
        </row>
        <row r="6">
          <cell r="A6" t="str">
            <v>IV степень</v>
          </cell>
        </row>
        <row r="9">
          <cell r="A9" t="str">
            <v>Непрерывный</v>
          </cell>
        </row>
        <row r="10">
          <cell r="A10" t="str">
            <v>Полунепрерывный</v>
          </cell>
        </row>
        <row r="11">
          <cell r="A11" t="str">
            <v>Непрерывно-дискретный</v>
          </cell>
        </row>
        <row r="12">
          <cell r="A12" t="str">
            <v xml:space="preserve">Непрерывно-дискретный </v>
          </cell>
        </row>
        <row r="13">
          <cell r="A13" t="str">
            <v>Циклический</v>
          </cell>
        </row>
        <row r="14">
          <cell r="A14" t="str">
            <v>Дискретный</v>
          </cell>
        </row>
        <row r="17">
          <cell r="A17" t="str">
            <v>до 5</v>
          </cell>
        </row>
        <row r="18">
          <cell r="A18" t="str">
            <v>св. 5 до 10</v>
          </cell>
        </row>
        <row r="19">
          <cell r="A19" t="str">
            <v>св. 10 до 20</v>
          </cell>
        </row>
        <row r="20">
          <cell r="A20" t="str">
            <v>св. 20 до 35</v>
          </cell>
        </row>
        <row r="21">
          <cell r="A21" t="str">
            <v>св. 35 до 50</v>
          </cell>
        </row>
        <row r="22">
          <cell r="A22" t="str">
            <v>св. 50 до 70</v>
          </cell>
        </row>
        <row r="23">
          <cell r="A23" t="str">
            <v>св. 70 до 100</v>
          </cell>
        </row>
        <row r="24">
          <cell r="A24" t="str">
            <v>св. 100</v>
          </cell>
        </row>
        <row r="27">
          <cell r="A27" t="str">
            <v>до 20</v>
          </cell>
        </row>
        <row r="28">
          <cell r="A28" t="str">
            <v>св. 20 до 50</v>
          </cell>
        </row>
        <row r="29">
          <cell r="A29" t="str">
            <v>св. 50 до 100</v>
          </cell>
        </row>
        <row r="30">
          <cell r="A30" t="str">
            <v>св. 100 до 170</v>
          </cell>
        </row>
        <row r="31">
          <cell r="A31" t="str">
            <v>св. 170 до 250</v>
          </cell>
        </row>
        <row r="32">
          <cell r="A32" t="str">
            <v>св. 250 до 350</v>
          </cell>
        </row>
        <row r="33">
          <cell r="A33" t="str">
            <v>св. 350 до 470</v>
          </cell>
        </row>
        <row r="34">
          <cell r="A34" t="str">
            <v>св. 470 до 600</v>
          </cell>
        </row>
        <row r="35">
          <cell r="A35" t="str">
            <v>св. 600 до 800</v>
          </cell>
        </row>
        <row r="36">
          <cell r="A36" t="str">
            <v>св. 800 до 1000</v>
          </cell>
        </row>
        <row r="37">
          <cell r="A37" t="str">
            <v>св. 1000 до 1300</v>
          </cell>
        </row>
        <row r="38">
          <cell r="A38" t="str">
            <v>св. 1300 до 1600</v>
          </cell>
        </row>
        <row r="39">
          <cell r="A39" t="str">
            <v>св. 1600 до 2000</v>
          </cell>
        </row>
        <row r="40">
          <cell r="A40" t="str">
            <v>св. 2000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Сооруж" displayName="Сооруж" ref="C1:D143" totalsRowShown="0" tableBorderDxfId="3">
  <autoFilter ref="C1:D143" xr:uid="{00000000-0009-0000-0100-000002000000}"/>
  <tableColumns count="2">
    <tableColumn id="2" xr3:uid="{00000000-0010-0000-0000-000002000000}" name="Столбец1" dataDxfId="2">
      <calculatedColumnFormula>IF(ISNUMBER(SEARCH($J$4,Сооруж[[#This Row],[Сооружения]])),MAX(Сооруж[[#Headers],[Столбец1]]:OFFSET(Сооруж[[#This Row],[Столбец1]],-1,0))+1,0)</calculatedColumnFormula>
    </tableColumn>
    <tableColumn id="1" xr3:uid="{00000000-0010-0000-0000-000001000000}" name="Сооружения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Фильтр" displayName="Фильтр" ref="F1:F143" totalsRowShown="0">
  <autoFilter ref="F1:F143" xr:uid="{00000000-0009-0000-0100-000004000000}"/>
  <tableColumns count="1">
    <tableColumn id="1" xr3:uid="{00000000-0010-0000-0100-000001000000}" name="Фильтр" dataDxfId="0">
      <calculatedColumnFormula>IFERROR(VLOOKUP(ROW(Фильтр[[#This Row],[Фильтр]])-ROW(Фильтр[[#Headers],[Фильтр]]),Сооруж[],2,FALSE),"")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view="pageBreakPreview" zoomScaleNormal="100" zoomScaleSheetLayoutView="100" workbookViewId="0">
      <selection activeCell="D46" sqref="D46"/>
    </sheetView>
  </sheetViews>
  <sheetFormatPr defaultColWidth="9.140625" defaultRowHeight="15.75" x14ac:dyDescent="0.25"/>
  <cols>
    <col min="1" max="1" width="9.140625" style="2"/>
    <col min="2" max="3" width="6.140625" style="1" customWidth="1"/>
    <col min="4" max="4" width="56.5703125" style="2" customWidth="1"/>
    <col min="5" max="5" width="21.85546875" style="2" hidden="1" customWidth="1"/>
    <col min="6" max="6" width="21.85546875" style="2" customWidth="1"/>
    <col min="7" max="7" width="25.28515625" style="2" customWidth="1"/>
    <col min="8" max="8" width="19.42578125" style="2" customWidth="1"/>
    <col min="9" max="9" width="18.140625" style="2" customWidth="1"/>
    <col min="10" max="10" width="18.85546875" style="2" customWidth="1"/>
    <col min="11" max="11" width="54.140625" style="2" customWidth="1"/>
    <col min="12" max="16384" width="9.140625" style="2"/>
  </cols>
  <sheetData>
    <row r="1" spans="2:11" s="1" customFormat="1" x14ac:dyDescent="0.25">
      <c r="B1" s="1">
        <v>1</v>
      </c>
      <c r="D1" s="1">
        <v>1</v>
      </c>
      <c r="G1" s="1">
        <v>1</v>
      </c>
      <c r="H1" s="1">
        <v>1</v>
      </c>
      <c r="I1" s="1">
        <v>1</v>
      </c>
      <c r="J1" s="1">
        <v>1</v>
      </c>
    </row>
    <row r="2" spans="2:11" x14ac:dyDescent="0.25">
      <c r="J2" s="3" t="s">
        <v>5</v>
      </c>
    </row>
    <row r="3" spans="2:11" x14ac:dyDescent="0.25">
      <c r="B3" s="112"/>
      <c r="C3" s="112"/>
      <c r="D3" s="108"/>
    </row>
    <row r="4" spans="2:11" ht="15.75" customHeight="1" x14ac:dyDescent="0.25">
      <c r="B4" s="89" t="s">
        <v>6</v>
      </c>
      <c r="C4" s="78"/>
      <c r="D4" s="5"/>
      <c r="E4" s="202"/>
      <c r="F4" s="202"/>
      <c r="G4" s="202"/>
      <c r="H4" s="202"/>
      <c r="I4" s="202"/>
      <c r="J4" s="202"/>
      <c r="K4" s="10"/>
    </row>
    <row r="5" spans="2:11" ht="15.75" customHeight="1" x14ac:dyDescent="0.25">
      <c r="B5" s="78"/>
      <c r="C5" s="78"/>
      <c r="D5" s="203" t="s">
        <v>7</v>
      </c>
      <c r="E5" s="204"/>
      <c r="F5" s="204"/>
      <c r="G5" s="204"/>
      <c r="H5" s="204"/>
      <c r="I5" s="204"/>
      <c r="J5" s="204"/>
    </row>
    <row r="6" spans="2:11" x14ac:dyDescent="0.25">
      <c r="B6" s="110" t="s">
        <v>8</v>
      </c>
      <c r="C6" s="110"/>
    </row>
    <row r="7" spans="2:11" x14ac:dyDescent="0.25">
      <c r="B7" s="205" t="s">
        <v>9</v>
      </c>
      <c r="C7" s="205"/>
      <c r="D7" s="205"/>
      <c r="E7" s="205"/>
      <c r="F7" s="205"/>
      <c r="G7" s="205"/>
      <c r="H7" s="205"/>
      <c r="I7" s="205"/>
      <c r="J7" s="205"/>
    </row>
    <row r="8" spans="2:11" x14ac:dyDescent="0.25">
      <c r="B8" s="112"/>
      <c r="C8" s="112"/>
      <c r="D8" s="108"/>
      <c r="E8" s="108"/>
      <c r="F8" s="113"/>
      <c r="G8" s="108"/>
    </row>
    <row r="9" spans="2:11" ht="85.5" customHeight="1" x14ac:dyDescent="0.25">
      <c r="B9" s="206" t="s">
        <v>10</v>
      </c>
      <c r="C9" s="206"/>
      <c r="D9" s="206"/>
      <c r="E9" s="206"/>
      <c r="F9" s="115"/>
      <c r="G9" s="207" t="s">
        <v>414</v>
      </c>
      <c r="H9" s="207"/>
      <c r="I9" s="207"/>
      <c r="J9" s="207"/>
      <c r="K9" s="10"/>
    </row>
    <row r="10" spans="2:11" x14ac:dyDescent="0.25">
      <c r="B10" s="201"/>
      <c r="C10" s="201"/>
      <c r="D10" s="201"/>
      <c r="E10" s="201"/>
      <c r="F10" s="201"/>
      <c r="G10" s="201"/>
      <c r="H10" s="90"/>
      <c r="I10" s="90"/>
      <c r="J10" s="90"/>
    </row>
    <row r="11" spans="2:11" x14ac:dyDescent="0.25">
      <c r="B11" s="201"/>
      <c r="C11" s="201"/>
      <c r="D11" s="201"/>
      <c r="E11" s="201"/>
      <c r="F11" s="201"/>
      <c r="G11" s="201"/>
      <c r="H11" s="90"/>
      <c r="I11" s="90"/>
      <c r="J11" s="90"/>
    </row>
    <row r="12" spans="2:11" ht="47.25" customHeight="1" x14ac:dyDescent="0.25">
      <c r="B12" s="206" t="s">
        <v>11</v>
      </c>
      <c r="C12" s="206"/>
      <c r="D12" s="206"/>
      <c r="E12" s="206"/>
      <c r="F12" s="115"/>
      <c r="G12" s="207"/>
      <c r="H12" s="207"/>
      <c r="I12" s="207"/>
      <c r="J12" s="207"/>
      <c r="K12" s="10"/>
    </row>
    <row r="13" spans="2:11" ht="15" customHeight="1" x14ac:dyDescent="0.25">
      <c r="B13" s="111"/>
      <c r="C13" s="111"/>
      <c r="D13" s="111"/>
      <c r="E13" s="111"/>
      <c r="F13" s="115"/>
      <c r="G13" s="111"/>
      <c r="H13" s="90"/>
      <c r="I13" s="90"/>
      <c r="J13" s="90"/>
    </row>
    <row r="14" spans="2:11" ht="15" customHeight="1" x14ac:dyDescent="0.25">
      <c r="B14" s="111"/>
      <c r="C14" s="111"/>
      <c r="D14" s="111"/>
      <c r="E14" s="111"/>
      <c r="F14" s="115"/>
      <c r="G14" s="111"/>
      <c r="H14" s="90"/>
      <c r="I14" s="90"/>
      <c r="J14" s="90"/>
    </row>
    <row r="15" spans="2:11" ht="26.25" customHeight="1" x14ac:dyDescent="0.25">
      <c r="B15" s="206" t="s">
        <v>12</v>
      </c>
      <c r="C15" s="206"/>
      <c r="D15" s="206"/>
      <c r="E15" s="206"/>
      <c r="F15" s="115"/>
      <c r="G15" s="207" t="s">
        <v>413</v>
      </c>
      <c r="H15" s="207"/>
      <c r="I15" s="207"/>
      <c r="J15" s="207"/>
      <c r="K15" s="10"/>
    </row>
    <row r="16" spans="2:11" x14ac:dyDescent="0.25">
      <c r="B16" s="89"/>
      <c r="C16" s="89"/>
      <c r="D16" s="90"/>
      <c r="E16" s="90"/>
      <c r="F16" s="90"/>
      <c r="G16" s="90"/>
      <c r="H16" s="90"/>
      <c r="I16" s="90"/>
      <c r="J16" s="90"/>
    </row>
    <row r="17" spans="1:12" x14ac:dyDescent="0.25">
      <c r="B17" s="112"/>
      <c r="C17" s="112"/>
      <c r="D17" s="108"/>
      <c r="E17" s="108"/>
      <c r="F17" s="113"/>
      <c r="G17" s="108"/>
      <c r="H17" s="108"/>
      <c r="I17" s="108"/>
      <c r="J17" s="108"/>
    </row>
    <row r="18" spans="1:12" ht="23.25" customHeight="1" x14ac:dyDescent="0.25">
      <c r="B18" s="208" t="s">
        <v>13</v>
      </c>
      <c r="C18" s="209" t="s">
        <v>14</v>
      </c>
      <c r="D18" s="210"/>
      <c r="E18" s="208" t="s">
        <v>15</v>
      </c>
      <c r="F18" s="208" t="s">
        <v>131</v>
      </c>
      <c r="G18" s="208" t="s">
        <v>16</v>
      </c>
      <c r="H18" s="208" t="s">
        <v>17</v>
      </c>
      <c r="I18" s="208"/>
      <c r="J18" s="208"/>
      <c r="K18" s="102"/>
      <c r="L18" s="100"/>
    </row>
    <row r="19" spans="1:12" ht="30" customHeight="1" x14ac:dyDescent="0.25">
      <c r="B19" s="208"/>
      <c r="C19" s="211"/>
      <c r="D19" s="212"/>
      <c r="E19" s="208"/>
      <c r="F19" s="208"/>
      <c r="G19" s="208"/>
      <c r="H19" s="109" t="s">
        <v>18</v>
      </c>
      <c r="I19" s="109" t="s">
        <v>19</v>
      </c>
      <c r="J19" s="109" t="s">
        <v>116</v>
      </c>
      <c r="K19" s="103"/>
    </row>
    <row r="20" spans="1:12" x14ac:dyDescent="0.25">
      <c r="B20" s="109">
        <f>IF($B$1=1,SUBTOTAL(2,$B$1:B1),"")</f>
        <v>1</v>
      </c>
      <c r="C20" s="214">
        <f>IF($B$1=1,SUBTOTAL(2,$B$1:D1),"")</f>
        <v>2</v>
      </c>
      <c r="D20" s="215"/>
      <c r="E20" s="109">
        <f>IF($B$1=1,SUBTOTAL(2,$B$1:E1),"")</f>
        <v>2</v>
      </c>
      <c r="F20" s="116"/>
      <c r="G20" s="109">
        <f>IF($B$1=1,SUBTOTAL(2,$B$1:G1),"")</f>
        <v>3</v>
      </c>
      <c r="H20" s="109">
        <f>IF($B$1=1,SUBTOTAL(2,$B$1:H1),"")</f>
        <v>4</v>
      </c>
      <c r="I20" s="109">
        <f>IF($B$1=1,SUBTOTAL(2,$B$1:I1),"")</f>
        <v>5</v>
      </c>
      <c r="J20" s="109">
        <f>IF($B$1=1,SUBTOTAL(2,$B$1:J1),"")</f>
        <v>6</v>
      </c>
      <c r="K20" s="103"/>
    </row>
    <row r="21" spans="1:12" ht="103.5" customHeight="1" x14ac:dyDescent="0.25">
      <c r="A21" s="7"/>
      <c r="B21" s="79">
        <v>1</v>
      </c>
      <c r="C21" s="216" t="s">
        <v>414</v>
      </c>
      <c r="D21" s="217"/>
      <c r="E21" s="8"/>
      <c r="F21" s="8"/>
      <c r="G21" s="8"/>
      <c r="H21" s="6"/>
      <c r="I21" s="6"/>
      <c r="J21" s="6">
        <f>SUM(H21:I21)</f>
        <v>0</v>
      </c>
      <c r="K21" s="200"/>
    </row>
    <row r="22" spans="1:12" ht="330.75" hidden="1" x14ac:dyDescent="0.25">
      <c r="A22" s="7"/>
      <c r="B22" s="79">
        <v>2</v>
      </c>
      <c r="C22" s="216" t="s">
        <v>82</v>
      </c>
      <c r="D22" s="217"/>
      <c r="E22" s="8"/>
      <c r="F22" s="8"/>
      <c r="G22" s="8"/>
      <c r="H22" s="6"/>
      <c r="I22" s="6"/>
      <c r="J22" s="6">
        <f t="shared" ref="J22:J39" si="0">SUM(H22:I22)</f>
        <v>0</v>
      </c>
      <c r="K22" s="105" t="s">
        <v>122</v>
      </c>
    </row>
    <row r="23" spans="1:12" ht="173.25" hidden="1" x14ac:dyDescent="0.25">
      <c r="A23" s="7"/>
      <c r="B23" s="79">
        <v>3</v>
      </c>
      <c r="C23" s="216" t="s">
        <v>83</v>
      </c>
      <c r="D23" s="217"/>
      <c r="E23" s="8"/>
      <c r="F23" s="8"/>
      <c r="G23" s="8"/>
      <c r="H23" s="6"/>
      <c r="I23" s="6"/>
      <c r="J23" s="6">
        <f t="shared" si="0"/>
        <v>0</v>
      </c>
      <c r="K23" s="105" t="s">
        <v>123</v>
      </c>
    </row>
    <row r="24" spans="1:12" ht="22.5" hidden="1" customHeight="1" x14ac:dyDescent="0.25">
      <c r="A24" s="7"/>
      <c r="B24" s="79">
        <v>4</v>
      </c>
      <c r="C24" s="216" t="s">
        <v>84</v>
      </c>
      <c r="D24" s="217"/>
      <c r="E24" s="8"/>
      <c r="F24" s="8"/>
      <c r="G24" s="8"/>
      <c r="H24" s="6"/>
      <c r="I24" s="6"/>
      <c r="J24" s="6">
        <f t="shared" si="0"/>
        <v>0</v>
      </c>
      <c r="K24" s="103"/>
    </row>
    <row r="25" spans="1:12" ht="31.5" hidden="1" x14ac:dyDescent="0.25">
      <c r="A25" s="7"/>
      <c r="B25" s="81" t="s">
        <v>85</v>
      </c>
      <c r="C25" s="82" t="s">
        <v>88</v>
      </c>
      <c r="D25" s="80" t="s">
        <v>1</v>
      </c>
      <c r="E25" s="8"/>
      <c r="F25" s="8"/>
      <c r="G25" s="8"/>
      <c r="H25" s="6"/>
      <c r="I25" s="6"/>
      <c r="J25" s="6">
        <f t="shared" si="0"/>
        <v>0</v>
      </c>
      <c r="K25" s="106" t="s">
        <v>124</v>
      </c>
    </row>
    <row r="26" spans="1:12" ht="47.25" hidden="1" x14ac:dyDescent="0.25">
      <c r="A26" s="7"/>
      <c r="B26" s="81" t="s">
        <v>86</v>
      </c>
      <c r="C26" s="82" t="s">
        <v>88</v>
      </c>
      <c r="D26" s="80" t="s">
        <v>0</v>
      </c>
      <c r="E26" s="8"/>
      <c r="F26" s="8"/>
      <c r="G26" s="8"/>
      <c r="H26" s="6"/>
      <c r="I26" s="6"/>
      <c r="J26" s="6">
        <f t="shared" si="0"/>
        <v>0</v>
      </c>
      <c r="K26" s="106" t="s">
        <v>124</v>
      </c>
    </row>
    <row r="27" spans="1:12" ht="252" hidden="1" x14ac:dyDescent="0.25">
      <c r="A27" s="7"/>
      <c r="B27" s="81" t="s">
        <v>87</v>
      </c>
      <c r="C27" s="82" t="s">
        <v>88</v>
      </c>
      <c r="D27" s="80" t="s">
        <v>89</v>
      </c>
      <c r="E27" s="8"/>
      <c r="F27" s="8"/>
      <c r="G27" s="8"/>
      <c r="H27" s="6"/>
      <c r="I27" s="6"/>
      <c r="J27" s="6">
        <f t="shared" si="0"/>
        <v>0</v>
      </c>
      <c r="K27" s="104" t="s">
        <v>125</v>
      </c>
    </row>
    <row r="28" spans="1:12" ht="94.5" hidden="1" x14ac:dyDescent="0.25">
      <c r="A28" s="7"/>
      <c r="B28" s="81" t="s">
        <v>96</v>
      </c>
      <c r="C28" s="82" t="s">
        <v>88</v>
      </c>
      <c r="D28" s="80" t="s">
        <v>90</v>
      </c>
      <c r="E28" s="8"/>
      <c r="F28" s="8"/>
      <c r="G28" s="8"/>
      <c r="H28" s="6"/>
      <c r="I28" s="6"/>
      <c r="J28" s="6">
        <f t="shared" si="0"/>
        <v>0</v>
      </c>
      <c r="K28" s="105" t="s">
        <v>126</v>
      </c>
    </row>
    <row r="29" spans="1:12" ht="236.25" hidden="1" x14ac:dyDescent="0.25">
      <c r="A29" s="7"/>
      <c r="B29" s="81" t="s">
        <v>97</v>
      </c>
      <c r="C29" s="82" t="s">
        <v>88</v>
      </c>
      <c r="D29" s="80" t="s">
        <v>91</v>
      </c>
      <c r="E29" s="8"/>
      <c r="F29" s="8"/>
      <c r="G29" s="8"/>
      <c r="H29" s="6"/>
      <c r="I29" s="6"/>
      <c r="J29" s="6">
        <f t="shared" si="0"/>
        <v>0</v>
      </c>
      <c r="K29" s="107" t="s">
        <v>128</v>
      </c>
    </row>
    <row r="30" spans="1:12" ht="31.5" hidden="1" x14ac:dyDescent="0.25">
      <c r="A30" s="7"/>
      <c r="B30" s="81" t="s">
        <v>98</v>
      </c>
      <c r="C30" s="82" t="s">
        <v>88</v>
      </c>
      <c r="D30" s="80" t="s">
        <v>92</v>
      </c>
      <c r="E30" s="8"/>
      <c r="F30" s="8"/>
      <c r="G30" s="8"/>
      <c r="H30" s="6"/>
      <c r="I30" s="6"/>
      <c r="J30" s="6">
        <f t="shared" si="0"/>
        <v>0</v>
      </c>
      <c r="K30" s="105" t="s">
        <v>127</v>
      </c>
    </row>
    <row r="31" spans="1:12" ht="31.5" hidden="1" x14ac:dyDescent="0.25">
      <c r="A31" s="7"/>
      <c r="B31" s="81" t="s">
        <v>99</v>
      </c>
      <c r="C31" s="82" t="s">
        <v>88</v>
      </c>
      <c r="D31" s="80" t="s">
        <v>93</v>
      </c>
      <c r="E31" s="8"/>
      <c r="F31" s="8"/>
      <c r="G31" s="8"/>
      <c r="H31" s="6"/>
      <c r="I31" s="6"/>
      <c r="J31" s="6">
        <f t="shared" si="0"/>
        <v>0</v>
      </c>
      <c r="K31" s="106" t="s">
        <v>124</v>
      </c>
    </row>
    <row r="32" spans="1:12" hidden="1" x14ac:dyDescent="0.25">
      <c r="A32" s="7"/>
      <c r="B32" s="83" t="s">
        <v>95</v>
      </c>
      <c r="C32" s="216" t="s">
        <v>94</v>
      </c>
      <c r="D32" s="217"/>
      <c r="E32" s="8"/>
      <c r="F32" s="8"/>
      <c r="G32" s="8"/>
      <c r="H32" s="6"/>
      <c r="I32" s="6"/>
      <c r="J32" s="6">
        <f t="shared" si="0"/>
        <v>0</v>
      </c>
      <c r="K32" s="103"/>
    </row>
    <row r="33" spans="1:11" ht="141.75" hidden="1" x14ac:dyDescent="0.25">
      <c r="A33" s="7"/>
      <c r="B33" s="81" t="s">
        <v>103</v>
      </c>
      <c r="C33" s="82" t="s">
        <v>88</v>
      </c>
      <c r="D33" s="80" t="s">
        <v>121</v>
      </c>
      <c r="E33" s="8"/>
      <c r="F33" s="8"/>
      <c r="G33" s="8"/>
      <c r="H33" s="6"/>
      <c r="I33" s="6"/>
      <c r="J33" s="6">
        <f t="shared" si="0"/>
        <v>0</v>
      </c>
      <c r="K33" s="105" t="s">
        <v>130</v>
      </c>
    </row>
    <row r="34" spans="1:11" ht="94.5" hidden="1" x14ac:dyDescent="0.25">
      <c r="A34" s="7"/>
      <c r="B34" s="81" t="s">
        <v>104</v>
      </c>
      <c r="C34" s="82" t="s">
        <v>88</v>
      </c>
      <c r="D34" s="80" t="s">
        <v>100</v>
      </c>
      <c r="E34" s="8"/>
      <c r="F34" s="8"/>
      <c r="G34" s="8"/>
      <c r="H34" s="6"/>
      <c r="I34" s="6"/>
      <c r="J34" s="6">
        <f t="shared" si="0"/>
        <v>0</v>
      </c>
      <c r="K34" s="105" t="s">
        <v>126</v>
      </c>
    </row>
    <row r="35" spans="1:11" hidden="1" x14ac:dyDescent="0.25">
      <c r="A35" s="7"/>
      <c r="B35" s="83" t="s">
        <v>102</v>
      </c>
      <c r="C35" s="216" t="s">
        <v>101</v>
      </c>
      <c r="D35" s="217"/>
      <c r="E35" s="8"/>
      <c r="F35" s="8"/>
      <c r="G35" s="8"/>
      <c r="H35" s="6"/>
      <c r="I35" s="6"/>
      <c r="J35" s="6">
        <f t="shared" si="0"/>
        <v>0</v>
      </c>
      <c r="K35" s="103"/>
    </row>
    <row r="36" spans="1:11" hidden="1" x14ac:dyDescent="0.25">
      <c r="A36" s="7"/>
      <c r="B36" s="81" t="s">
        <v>105</v>
      </c>
      <c r="C36" s="82" t="s">
        <v>88</v>
      </c>
      <c r="D36" s="80" t="s">
        <v>2</v>
      </c>
      <c r="E36" s="8"/>
      <c r="F36" s="8"/>
      <c r="G36" s="8"/>
      <c r="H36" s="6"/>
      <c r="I36" s="6"/>
      <c r="J36" s="6">
        <f t="shared" si="0"/>
        <v>0</v>
      </c>
      <c r="K36" s="103" t="s">
        <v>124</v>
      </c>
    </row>
    <row r="37" spans="1:11" ht="94.5" hidden="1" x14ac:dyDescent="0.25">
      <c r="A37" s="7"/>
      <c r="B37" s="81" t="s">
        <v>106</v>
      </c>
      <c r="C37" s="82" t="s">
        <v>88</v>
      </c>
      <c r="D37" s="80" t="s">
        <v>3</v>
      </c>
      <c r="E37" s="8"/>
      <c r="F37" s="8"/>
      <c r="G37" s="8"/>
      <c r="H37" s="6"/>
      <c r="I37" s="6"/>
      <c r="J37" s="6">
        <f t="shared" si="0"/>
        <v>0</v>
      </c>
      <c r="K37" s="105" t="s">
        <v>129</v>
      </c>
    </row>
    <row r="38" spans="1:11" hidden="1" x14ac:dyDescent="0.25">
      <c r="A38" s="7"/>
      <c r="B38" s="83" t="s">
        <v>107</v>
      </c>
      <c r="C38" s="216" t="s">
        <v>108</v>
      </c>
      <c r="D38" s="217"/>
      <c r="E38" s="8"/>
      <c r="F38" s="8"/>
      <c r="G38" s="8"/>
      <c r="H38" s="6"/>
      <c r="I38" s="6"/>
      <c r="J38" s="6">
        <f t="shared" si="0"/>
        <v>0</v>
      </c>
      <c r="K38" s="103"/>
    </row>
    <row r="39" spans="1:11" ht="31.5" hidden="1" x14ac:dyDescent="0.25">
      <c r="A39" s="7"/>
      <c r="B39" s="81" t="s">
        <v>109</v>
      </c>
      <c r="C39" s="82" t="s">
        <v>88</v>
      </c>
      <c r="D39" s="80" t="s">
        <v>4</v>
      </c>
      <c r="E39" s="8"/>
      <c r="F39" s="8"/>
      <c r="G39" s="8"/>
      <c r="H39" s="6"/>
      <c r="I39" s="6"/>
      <c r="J39" s="6">
        <f t="shared" si="0"/>
        <v>0</v>
      </c>
      <c r="K39" s="106" t="s">
        <v>124</v>
      </c>
    </row>
    <row r="40" spans="1:11" ht="15" customHeight="1" x14ac:dyDescent="0.25">
      <c r="A40" s="7"/>
      <c r="B40" s="84">
        <v>2</v>
      </c>
      <c r="C40" s="218" t="s">
        <v>20</v>
      </c>
      <c r="D40" s="219"/>
      <c r="E40" s="219"/>
      <c r="F40" s="219"/>
      <c r="G40" s="220"/>
      <c r="H40" s="85">
        <f>SUM(H21:H39)</f>
        <v>0</v>
      </c>
      <c r="I40" s="85">
        <f>SUM(I21:I39)</f>
        <v>0</v>
      </c>
      <c r="J40" s="85">
        <f>SUM(H40:I40)</f>
        <v>0</v>
      </c>
      <c r="K40" s="103"/>
    </row>
    <row r="41" spans="1:11" ht="15" customHeight="1" x14ac:dyDescent="0.25">
      <c r="A41" s="7"/>
      <c r="B41" s="86">
        <v>3</v>
      </c>
      <c r="C41" s="221" t="s">
        <v>21</v>
      </c>
      <c r="D41" s="222"/>
      <c r="E41" s="222"/>
      <c r="F41" s="222"/>
      <c r="G41" s="222"/>
      <c r="H41" s="222"/>
      <c r="I41" s="223"/>
      <c r="J41" s="87">
        <f t="shared" ref="J41" si="1">J40*0.2</f>
        <v>0</v>
      </c>
      <c r="K41" s="103"/>
    </row>
    <row r="42" spans="1:11" ht="15" customHeight="1" x14ac:dyDescent="0.25">
      <c r="A42" s="7"/>
      <c r="B42" s="88">
        <v>4</v>
      </c>
      <c r="C42" s="218" t="s">
        <v>22</v>
      </c>
      <c r="D42" s="219"/>
      <c r="E42" s="219"/>
      <c r="F42" s="219"/>
      <c r="G42" s="219"/>
      <c r="H42" s="219"/>
      <c r="I42" s="220"/>
      <c r="J42" s="109">
        <f>J41+J40</f>
        <v>0</v>
      </c>
      <c r="K42" s="103"/>
    </row>
    <row r="43" spans="1:11" x14ac:dyDescent="0.25">
      <c r="B43" s="78"/>
      <c r="C43" s="78"/>
    </row>
    <row r="44" spans="1:11" x14ac:dyDescent="0.25">
      <c r="B44" s="112"/>
      <c r="C44" s="112"/>
      <c r="D44" s="108"/>
      <c r="E44" s="108"/>
      <c r="F44" s="113"/>
      <c r="G44" s="108"/>
      <c r="H44" s="108"/>
      <c r="I44" s="108"/>
      <c r="J44" s="108"/>
    </row>
    <row r="45" spans="1:11" ht="15.75" customHeight="1" x14ac:dyDescent="0.25">
      <c r="D45" s="5" t="s">
        <v>23</v>
      </c>
      <c r="E45" s="101"/>
      <c r="F45" s="101"/>
      <c r="G45" s="101"/>
      <c r="H45" s="101"/>
      <c r="I45" s="101"/>
      <c r="J45" s="101"/>
    </row>
    <row r="46" spans="1:11" x14ac:dyDescent="0.25">
      <c r="D46" s="5"/>
      <c r="E46" s="213" t="s">
        <v>24</v>
      </c>
      <c r="F46" s="213"/>
      <c r="G46" s="213"/>
      <c r="H46" s="213"/>
      <c r="I46" s="213"/>
      <c r="J46" s="213"/>
    </row>
    <row r="47" spans="1:11" x14ac:dyDescent="0.25">
      <c r="D47" s="5"/>
      <c r="E47" s="112"/>
      <c r="F47" s="114"/>
      <c r="G47" s="112"/>
      <c r="H47" s="112"/>
      <c r="I47" s="112"/>
      <c r="J47" s="112"/>
    </row>
    <row r="48" spans="1:11" x14ac:dyDescent="0.25">
      <c r="D48" s="5"/>
      <c r="E48" s="112"/>
      <c r="F48" s="114"/>
      <c r="G48" s="112"/>
      <c r="H48" s="112"/>
      <c r="I48" s="112"/>
      <c r="J48" s="112"/>
    </row>
    <row r="49" spans="2:10" ht="22.5" customHeight="1" x14ac:dyDescent="0.25">
      <c r="D49" s="4" t="s">
        <v>25</v>
      </c>
      <c r="E49" s="5"/>
      <c r="F49" s="5"/>
      <c r="G49" s="9"/>
      <c r="H49" s="9"/>
      <c r="I49" s="10"/>
      <c r="J49" s="10"/>
    </row>
    <row r="50" spans="2:10" ht="15.75" customHeight="1" x14ac:dyDescent="0.25">
      <c r="B50" s="112"/>
      <c r="C50" s="112"/>
      <c r="D50" s="5"/>
      <c r="E50" s="5"/>
      <c r="F50" s="5"/>
      <c r="G50" s="224" t="s">
        <v>26</v>
      </c>
      <c r="H50" s="224"/>
      <c r="I50" s="224"/>
      <c r="J50" s="224"/>
    </row>
    <row r="51" spans="2:10" ht="15.75" customHeight="1" x14ac:dyDescent="0.25">
      <c r="B51" s="112"/>
      <c r="C51" s="112"/>
      <c r="D51" s="5"/>
      <c r="E51" s="5"/>
      <c r="F51" s="5"/>
      <c r="G51" s="112"/>
      <c r="H51" s="112"/>
      <c r="I51" s="112"/>
      <c r="J51" s="112"/>
    </row>
    <row r="52" spans="2:10" ht="15.75" customHeight="1" x14ac:dyDescent="0.25">
      <c r="B52" s="112"/>
      <c r="C52" s="112"/>
      <c r="D52" s="4" t="s">
        <v>27</v>
      </c>
      <c r="E52" s="5"/>
      <c r="F52" s="5"/>
      <c r="G52" s="9"/>
      <c r="H52" s="9"/>
      <c r="I52" s="10"/>
      <c r="J52" s="10"/>
    </row>
    <row r="53" spans="2:10" ht="15.75" customHeight="1" x14ac:dyDescent="0.25">
      <c r="B53" s="112"/>
      <c r="C53" s="112"/>
      <c r="D53" s="5"/>
      <c r="E53" s="5"/>
      <c r="F53" s="5"/>
      <c r="G53" s="224" t="s">
        <v>26</v>
      </c>
      <c r="H53" s="224"/>
      <c r="I53" s="224"/>
      <c r="J53" s="224"/>
    </row>
    <row r="54" spans="2:10" ht="31.5" customHeight="1" x14ac:dyDescent="0.25">
      <c r="B54" s="225" t="s">
        <v>117</v>
      </c>
      <c r="C54" s="225"/>
      <c r="D54" s="225"/>
      <c r="E54" s="225"/>
      <c r="F54" s="225"/>
      <c r="G54" s="225"/>
      <c r="H54" s="225"/>
    </row>
    <row r="55" spans="2:10" ht="15.75" customHeight="1" x14ac:dyDescent="0.25">
      <c r="B55" s="225" t="s">
        <v>118</v>
      </c>
      <c r="C55" s="225"/>
      <c r="D55" s="225"/>
      <c r="E55" s="225"/>
      <c r="F55" s="225"/>
      <c r="G55" s="225"/>
      <c r="H55" s="225"/>
    </row>
    <row r="56" spans="2:10" x14ac:dyDescent="0.25">
      <c r="B56" s="225"/>
      <c r="C56" s="225"/>
      <c r="D56" s="225"/>
      <c r="E56" s="225"/>
      <c r="F56" s="225"/>
      <c r="G56" s="225"/>
      <c r="H56" s="225"/>
    </row>
    <row r="57" spans="2:10" x14ac:dyDescent="0.25">
      <c r="B57" s="201"/>
      <c r="C57" s="201"/>
      <c r="D57" s="201"/>
      <c r="E57" s="201"/>
      <c r="F57" s="201"/>
      <c r="G57" s="201"/>
      <c r="H57" s="201"/>
    </row>
    <row r="58" spans="2:10" ht="15.75" customHeight="1" x14ac:dyDescent="0.25">
      <c r="B58" s="225" t="s">
        <v>29</v>
      </c>
      <c r="C58" s="225"/>
      <c r="D58" s="225"/>
      <c r="E58" s="225"/>
      <c r="F58" s="225"/>
      <c r="G58" s="225"/>
      <c r="H58" s="225"/>
    </row>
    <row r="59" spans="2:10" x14ac:dyDescent="0.25">
      <c r="B59" s="201"/>
      <c r="C59" s="201"/>
      <c r="D59" s="201"/>
      <c r="E59" s="201"/>
      <c r="F59" s="201"/>
      <c r="G59" s="201"/>
      <c r="H59" s="201"/>
    </row>
    <row r="60" spans="2:10" ht="15.75" customHeight="1" x14ac:dyDescent="0.25">
      <c r="D60" s="2" t="s">
        <v>30</v>
      </c>
      <c r="E60" s="5"/>
      <c r="F60" s="5"/>
      <c r="G60" s="9"/>
      <c r="H60" s="9"/>
      <c r="I60" s="10"/>
      <c r="J60" s="10"/>
    </row>
    <row r="61" spans="2:10" x14ac:dyDescent="0.25">
      <c r="B61" s="112"/>
      <c r="C61" s="112"/>
      <c r="D61" s="5"/>
      <c r="E61" s="5"/>
      <c r="F61" s="5"/>
      <c r="G61" s="224" t="s">
        <v>26</v>
      </c>
      <c r="H61" s="224"/>
      <c r="I61" s="224"/>
      <c r="J61" s="224"/>
    </row>
    <row r="62" spans="2:10" ht="31.5" customHeight="1" x14ac:dyDescent="0.25">
      <c r="B62" s="225" t="s">
        <v>31</v>
      </c>
      <c r="C62" s="225"/>
      <c r="D62" s="225"/>
      <c r="E62" s="225"/>
      <c r="F62" s="225"/>
      <c r="G62" s="225"/>
      <c r="H62" s="225"/>
    </row>
    <row r="63" spans="2:10" ht="15.75" customHeight="1" x14ac:dyDescent="0.25">
      <c r="B63" s="225" t="s">
        <v>28</v>
      </c>
      <c r="C63" s="225"/>
      <c r="D63" s="225"/>
      <c r="E63" s="225"/>
      <c r="F63" s="225"/>
      <c r="G63" s="225"/>
      <c r="H63" s="225"/>
    </row>
    <row r="64" spans="2:10" x14ac:dyDescent="0.25">
      <c r="B64" s="201"/>
      <c r="C64" s="201"/>
      <c r="D64" s="201"/>
      <c r="E64" s="201"/>
      <c r="F64" s="201"/>
      <c r="G64" s="201"/>
      <c r="H64" s="201"/>
    </row>
  </sheetData>
  <mergeCells count="40">
    <mergeCell ref="B64:H64"/>
    <mergeCell ref="G50:J50"/>
    <mergeCell ref="G53:J53"/>
    <mergeCell ref="B54:H54"/>
    <mergeCell ref="B55:H55"/>
    <mergeCell ref="B56:H56"/>
    <mergeCell ref="B57:H57"/>
    <mergeCell ref="B58:H58"/>
    <mergeCell ref="B59:H59"/>
    <mergeCell ref="G61:J61"/>
    <mergeCell ref="B62:H62"/>
    <mergeCell ref="B63:H63"/>
    <mergeCell ref="E46:J46"/>
    <mergeCell ref="C20:D20"/>
    <mergeCell ref="C21:D21"/>
    <mergeCell ref="C22:D22"/>
    <mergeCell ref="C23:D23"/>
    <mergeCell ref="C24:D24"/>
    <mergeCell ref="C32:D32"/>
    <mergeCell ref="C35:D35"/>
    <mergeCell ref="C38:D38"/>
    <mergeCell ref="C40:G40"/>
    <mergeCell ref="C41:I41"/>
    <mergeCell ref="C42:I42"/>
    <mergeCell ref="B12:E12"/>
    <mergeCell ref="G12:J12"/>
    <mergeCell ref="B15:E15"/>
    <mergeCell ref="G15:J15"/>
    <mergeCell ref="B18:B19"/>
    <mergeCell ref="C18:D19"/>
    <mergeCell ref="E18:E19"/>
    <mergeCell ref="G18:G19"/>
    <mergeCell ref="H18:J18"/>
    <mergeCell ref="F18:F19"/>
    <mergeCell ref="B10:G11"/>
    <mergeCell ref="E4:J4"/>
    <mergeCell ref="D5:J5"/>
    <mergeCell ref="B7:J7"/>
    <mergeCell ref="B9:E9"/>
    <mergeCell ref="G9:J9"/>
  </mergeCells>
  <pageMargins left="0.7" right="0.7" top="0.75" bottom="0.75" header="0.3" footer="0.3"/>
  <pageSetup paperSize="9" scale="3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K6"/>
  <sheetViews>
    <sheetView view="pageBreakPreview" zoomScaleNormal="85" zoomScaleSheetLayoutView="100" workbookViewId="0">
      <selection activeCell="C1" sqref="C1:K1"/>
    </sheetView>
  </sheetViews>
  <sheetFormatPr defaultRowHeight="15" outlineLevelRow="1" x14ac:dyDescent="0.25"/>
  <cols>
    <col min="1" max="1" width="3.85546875" style="183" customWidth="1"/>
    <col min="2" max="2" width="4.5703125" style="181" customWidth="1"/>
    <col min="3" max="3" width="30.7109375" style="183" customWidth="1"/>
    <col min="4" max="4" width="41.28515625" style="183" customWidth="1"/>
    <col min="5" max="5" width="8.7109375" style="182" customWidth="1"/>
    <col min="6" max="6" width="8.7109375" style="184" customWidth="1"/>
    <col min="7" max="7" width="44.28515625" style="183" customWidth="1"/>
    <col min="8" max="8" width="37.28515625" style="183" customWidth="1"/>
    <col min="9" max="9" width="22.42578125" style="183" customWidth="1"/>
    <col min="10" max="10" width="29" style="183" customWidth="1"/>
    <col min="11" max="11" width="16.140625" style="183" customWidth="1"/>
    <col min="12" max="12" width="41.85546875" style="183" customWidth="1"/>
    <col min="13" max="16384" width="9.140625" style="183"/>
  </cols>
  <sheetData>
    <row r="1" spans="2:11" s="181" customFormat="1" ht="66.75" customHeight="1" x14ac:dyDescent="0.25">
      <c r="B1" s="180"/>
      <c r="C1" s="226" t="s">
        <v>414</v>
      </c>
      <c r="D1" s="227"/>
      <c r="E1" s="227"/>
      <c r="F1" s="227"/>
      <c r="G1" s="227"/>
      <c r="H1" s="227"/>
      <c r="I1" s="227"/>
      <c r="J1" s="227"/>
      <c r="K1" s="227"/>
    </row>
    <row r="2" spans="2:11" ht="15.75" thickBot="1" x14ac:dyDescent="0.3">
      <c r="B2" s="181" t="s">
        <v>397</v>
      </c>
      <c r="C2" s="181"/>
    </row>
    <row r="3" spans="2:11" ht="128.25" customHeight="1" thickBot="1" x14ac:dyDescent="0.3">
      <c r="B3" s="185" t="s">
        <v>398</v>
      </c>
      <c r="C3" s="186" t="s">
        <v>399</v>
      </c>
      <c r="D3" s="186" t="s">
        <v>400</v>
      </c>
      <c r="E3" s="186" t="s">
        <v>401</v>
      </c>
      <c r="F3" s="186" t="s">
        <v>402</v>
      </c>
      <c r="G3" s="186" t="s">
        <v>403</v>
      </c>
      <c r="H3" s="186" t="s">
        <v>404</v>
      </c>
      <c r="I3" s="186" t="s">
        <v>405</v>
      </c>
      <c r="J3" s="186" t="s">
        <v>406</v>
      </c>
      <c r="K3" s="186" t="s">
        <v>407</v>
      </c>
    </row>
    <row r="4" spans="2:11" x14ac:dyDescent="0.25">
      <c r="B4" s="187">
        <v>1</v>
      </c>
      <c r="C4" s="187">
        <v>2</v>
      </c>
      <c r="D4" s="187">
        <v>3</v>
      </c>
      <c r="E4" s="187">
        <v>4</v>
      </c>
      <c r="F4" s="187">
        <v>5</v>
      </c>
      <c r="G4" s="187">
        <v>6</v>
      </c>
      <c r="H4" s="187">
        <v>7</v>
      </c>
      <c r="I4" s="187">
        <v>8</v>
      </c>
      <c r="J4" s="187">
        <v>9</v>
      </c>
      <c r="K4" s="187">
        <v>10</v>
      </c>
    </row>
    <row r="5" spans="2:11" s="181" customFormat="1" ht="99.95" customHeight="1" outlineLevel="1" x14ac:dyDescent="0.25">
      <c r="B5" s="188">
        <v>1</v>
      </c>
      <c r="C5" s="189" t="s">
        <v>412</v>
      </c>
      <c r="D5" s="189"/>
      <c r="E5" s="190"/>
      <c r="F5" s="199"/>
      <c r="G5" s="189"/>
      <c r="H5" s="189"/>
      <c r="I5" s="191"/>
      <c r="J5" s="192"/>
      <c r="K5" s="193"/>
    </row>
    <row r="6" spans="2:11" ht="99.95" customHeight="1" thickBot="1" x14ac:dyDescent="0.3">
      <c r="B6" s="194">
        <f>MAX($B$5:B5)+1</f>
        <v>2</v>
      </c>
      <c r="C6" s="189" t="s">
        <v>412</v>
      </c>
      <c r="D6" s="189"/>
      <c r="E6" s="195"/>
      <c r="F6" s="199"/>
      <c r="G6" s="189"/>
      <c r="H6" s="189"/>
      <c r="I6" s="196"/>
      <c r="J6" s="197"/>
      <c r="K6" s="198"/>
    </row>
  </sheetData>
  <mergeCells count="1">
    <mergeCell ref="C1:K1"/>
  </mergeCells>
  <pageMargins left="0.7" right="0.7" top="0.75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0"/>
  <sheetViews>
    <sheetView topLeftCell="A115" workbookViewId="0">
      <selection activeCell="C140" sqref="C140"/>
    </sheetView>
  </sheetViews>
  <sheetFormatPr defaultRowHeight="15" x14ac:dyDescent="0.25"/>
  <cols>
    <col min="1" max="1" width="37.28515625" customWidth="1"/>
    <col min="2" max="2" width="22.85546875" customWidth="1"/>
    <col min="3" max="3" width="23.42578125" customWidth="1"/>
    <col min="5" max="5" width="19.140625" customWidth="1"/>
  </cols>
  <sheetData>
    <row r="1" spans="1:5" x14ac:dyDescent="0.25">
      <c r="A1" t="s">
        <v>293</v>
      </c>
      <c r="B1" t="s">
        <v>294</v>
      </c>
    </row>
    <row r="2" spans="1:5" ht="30" x14ac:dyDescent="0.25">
      <c r="A2" s="127" t="s">
        <v>134</v>
      </c>
      <c r="B2" s="122" t="s">
        <v>133</v>
      </c>
      <c r="C2" s="122" t="s">
        <v>132</v>
      </c>
      <c r="E2" t="s">
        <v>297</v>
      </c>
    </row>
    <row r="3" spans="1:5" ht="30" x14ac:dyDescent="0.25">
      <c r="A3" s="127" t="s">
        <v>135</v>
      </c>
      <c r="B3" s="122"/>
      <c r="C3" s="122"/>
      <c r="E3" t="s">
        <v>298</v>
      </c>
    </row>
    <row r="4" spans="1:5" x14ac:dyDescent="0.25">
      <c r="A4" s="129" t="s">
        <v>136</v>
      </c>
      <c r="B4" s="122" t="s">
        <v>133</v>
      </c>
      <c r="C4" s="122" t="s">
        <v>132</v>
      </c>
      <c r="E4" t="s">
        <v>299</v>
      </c>
    </row>
    <row r="5" spans="1:5" x14ac:dyDescent="0.25">
      <c r="A5" s="127" t="s">
        <v>144</v>
      </c>
      <c r="B5" s="122" t="s">
        <v>133</v>
      </c>
      <c r="C5" s="122" t="s">
        <v>132</v>
      </c>
      <c r="E5" t="s">
        <v>300</v>
      </c>
    </row>
    <row r="6" spans="1:5" x14ac:dyDescent="0.25">
      <c r="A6" s="127" t="s">
        <v>137</v>
      </c>
      <c r="B6" s="122" t="s">
        <v>133</v>
      </c>
      <c r="C6" s="123" t="s">
        <v>132</v>
      </c>
    </row>
    <row r="7" spans="1:5" ht="45" x14ac:dyDescent="0.25">
      <c r="A7" s="127" t="s">
        <v>138</v>
      </c>
      <c r="B7" s="122" t="s">
        <v>133</v>
      </c>
      <c r="C7" s="123" t="s">
        <v>132</v>
      </c>
    </row>
    <row r="8" spans="1:5" ht="45" x14ac:dyDescent="0.25">
      <c r="A8" s="127" t="s">
        <v>139</v>
      </c>
      <c r="B8" s="122" t="s">
        <v>133</v>
      </c>
      <c r="C8" s="123" t="s">
        <v>132</v>
      </c>
    </row>
    <row r="9" spans="1:5" ht="30" x14ac:dyDescent="0.25">
      <c r="A9" s="127" t="s">
        <v>140</v>
      </c>
      <c r="B9" s="122" t="s">
        <v>133</v>
      </c>
      <c r="C9" s="123" t="s">
        <v>132</v>
      </c>
    </row>
    <row r="10" spans="1:5" ht="30" x14ac:dyDescent="0.25">
      <c r="A10" s="127" t="s">
        <v>141</v>
      </c>
      <c r="B10" s="122" t="s">
        <v>133</v>
      </c>
      <c r="C10" s="123" t="s">
        <v>132</v>
      </c>
    </row>
    <row r="11" spans="1:5" ht="60" x14ac:dyDescent="0.25">
      <c r="A11" s="124" t="s">
        <v>143</v>
      </c>
      <c r="B11" s="122" t="s">
        <v>332</v>
      </c>
      <c r="C11" s="123" t="s">
        <v>333</v>
      </c>
    </row>
    <row r="12" spans="1:5" x14ac:dyDescent="0.25">
      <c r="A12" s="127" t="s">
        <v>147</v>
      </c>
      <c r="B12" s="128" t="s">
        <v>142</v>
      </c>
      <c r="C12" s="128" t="s">
        <v>149</v>
      </c>
    </row>
    <row r="13" spans="1:5" x14ac:dyDescent="0.25">
      <c r="A13" s="127" t="s">
        <v>148</v>
      </c>
      <c r="B13" s="128" t="s">
        <v>142</v>
      </c>
      <c r="C13" s="128" t="s">
        <v>149</v>
      </c>
    </row>
    <row r="14" spans="1:5" ht="45" x14ac:dyDescent="0.25">
      <c r="A14" s="127" t="s">
        <v>145</v>
      </c>
      <c r="B14" s="122" t="s">
        <v>152</v>
      </c>
      <c r="C14" s="128" t="s">
        <v>132</v>
      </c>
    </row>
    <row r="15" spans="1:5" ht="30" x14ac:dyDescent="0.25">
      <c r="A15" s="124" t="s">
        <v>150</v>
      </c>
      <c r="B15" s="122" t="s">
        <v>153</v>
      </c>
      <c r="C15" s="128" t="s">
        <v>132</v>
      </c>
    </row>
    <row r="16" spans="1:5" ht="30" x14ac:dyDescent="0.25">
      <c r="A16" s="130" t="s">
        <v>151</v>
      </c>
      <c r="B16" s="123" t="s">
        <v>154</v>
      </c>
      <c r="C16" s="128" t="s">
        <v>132</v>
      </c>
    </row>
    <row r="17" spans="1:3" ht="45" x14ac:dyDescent="0.25">
      <c r="A17" s="127" t="s">
        <v>155</v>
      </c>
      <c r="B17" s="123" t="s">
        <v>158</v>
      </c>
      <c r="C17" s="128" t="s">
        <v>156</v>
      </c>
    </row>
    <row r="18" spans="1:3" x14ac:dyDescent="0.25">
      <c r="A18" s="124" t="s">
        <v>157</v>
      </c>
      <c r="B18" s="123" t="s">
        <v>159</v>
      </c>
      <c r="C18" s="131" t="s">
        <v>162</v>
      </c>
    </row>
    <row r="19" spans="1:3" x14ac:dyDescent="0.25">
      <c r="A19" t="s">
        <v>161</v>
      </c>
      <c r="B19" s="123" t="s">
        <v>159</v>
      </c>
      <c r="C19" s="131" t="s">
        <v>162</v>
      </c>
    </row>
    <row r="20" spans="1:3" ht="30" x14ac:dyDescent="0.25">
      <c r="A20" s="124" t="s">
        <v>163</v>
      </c>
      <c r="B20" s="123" t="s">
        <v>159</v>
      </c>
      <c r="C20" s="131" t="s">
        <v>162</v>
      </c>
    </row>
    <row r="21" spans="1:3" ht="30" x14ac:dyDescent="0.25">
      <c r="A21" s="124" t="s">
        <v>164</v>
      </c>
      <c r="B21" s="123" t="s">
        <v>159</v>
      </c>
      <c r="C21" s="131" t="s">
        <v>162</v>
      </c>
    </row>
    <row r="22" spans="1:3" ht="30" x14ac:dyDescent="0.25">
      <c r="A22" s="124" t="s">
        <v>165</v>
      </c>
      <c r="B22" s="123" t="s">
        <v>166</v>
      </c>
      <c r="C22" s="131" t="s">
        <v>167</v>
      </c>
    </row>
    <row r="23" spans="1:3" ht="30" x14ac:dyDescent="0.25">
      <c r="A23" s="124" t="s">
        <v>168</v>
      </c>
      <c r="B23" s="123" t="s">
        <v>166</v>
      </c>
      <c r="C23" s="131" t="s">
        <v>167</v>
      </c>
    </row>
    <row r="24" spans="1:3" ht="30" x14ac:dyDescent="0.25">
      <c r="A24" s="127" t="s">
        <v>146</v>
      </c>
      <c r="B24" s="123" t="s">
        <v>169</v>
      </c>
      <c r="C24" s="131" t="s">
        <v>170</v>
      </c>
    </row>
    <row r="25" spans="1:3" x14ac:dyDescent="0.25">
      <c r="A25" s="124" t="s">
        <v>171</v>
      </c>
      <c r="B25" s="123" t="s">
        <v>159</v>
      </c>
      <c r="C25" s="131" t="s">
        <v>162</v>
      </c>
    </row>
    <row r="26" spans="1:3" x14ac:dyDescent="0.25">
      <c r="A26" t="s">
        <v>172</v>
      </c>
      <c r="B26" s="123" t="s">
        <v>159</v>
      </c>
      <c r="C26" s="131" t="s">
        <v>162</v>
      </c>
    </row>
    <row r="27" spans="1:3" ht="30" x14ac:dyDescent="0.25">
      <c r="A27" s="124" t="s">
        <v>173</v>
      </c>
      <c r="B27" s="123" t="s">
        <v>159</v>
      </c>
      <c r="C27" s="131" t="s">
        <v>174</v>
      </c>
    </row>
    <row r="28" spans="1:3" ht="45" x14ac:dyDescent="0.25">
      <c r="A28" s="117" t="s">
        <v>175</v>
      </c>
      <c r="B28" s="123" t="s">
        <v>159</v>
      </c>
      <c r="C28" s="131" t="s">
        <v>162</v>
      </c>
    </row>
    <row r="29" spans="1:3" ht="30" x14ac:dyDescent="0.25">
      <c r="A29" s="124" t="s">
        <v>176</v>
      </c>
      <c r="B29" s="123" t="s">
        <v>159</v>
      </c>
      <c r="C29" s="131" t="s">
        <v>162</v>
      </c>
    </row>
    <row r="30" spans="1:3" x14ac:dyDescent="0.25">
      <c r="A30" s="124" t="s">
        <v>177</v>
      </c>
      <c r="B30" s="123" t="s">
        <v>159</v>
      </c>
      <c r="C30" s="131" t="s">
        <v>162</v>
      </c>
    </row>
    <row r="31" spans="1:3" x14ac:dyDescent="0.25">
      <c r="A31" s="124" t="s">
        <v>178</v>
      </c>
      <c r="B31" s="123" t="s">
        <v>159</v>
      </c>
      <c r="C31" s="131" t="s">
        <v>162</v>
      </c>
    </row>
    <row r="32" spans="1:3" ht="30" x14ac:dyDescent="0.25">
      <c r="A32" s="124" t="s">
        <v>179</v>
      </c>
      <c r="B32" s="123" t="s">
        <v>159</v>
      </c>
      <c r="C32" s="131" t="s">
        <v>162</v>
      </c>
    </row>
    <row r="33" spans="1:3" ht="30" x14ac:dyDescent="0.25">
      <c r="A33" s="124" t="s">
        <v>180</v>
      </c>
      <c r="B33" s="123" t="s">
        <v>159</v>
      </c>
      <c r="C33" s="131" t="s">
        <v>162</v>
      </c>
    </row>
    <row r="34" spans="1:3" x14ac:dyDescent="0.25">
      <c r="A34" s="124" t="s">
        <v>181</v>
      </c>
      <c r="B34" s="123" t="s">
        <v>159</v>
      </c>
      <c r="C34" s="131" t="s">
        <v>162</v>
      </c>
    </row>
    <row r="35" spans="1:3" x14ac:dyDescent="0.25">
      <c r="A35" s="124" t="s">
        <v>182</v>
      </c>
      <c r="B35" s="123" t="s">
        <v>142</v>
      </c>
      <c r="C35" s="131" t="s">
        <v>149</v>
      </c>
    </row>
    <row r="36" spans="1:3" x14ac:dyDescent="0.25">
      <c r="A36" s="124" t="s">
        <v>183</v>
      </c>
      <c r="B36" s="123" t="s">
        <v>159</v>
      </c>
      <c r="C36" s="131" t="s">
        <v>184</v>
      </c>
    </row>
    <row r="37" spans="1:3" ht="30" x14ac:dyDescent="0.25">
      <c r="A37" s="124" t="s">
        <v>185</v>
      </c>
      <c r="B37" s="123" t="s">
        <v>187</v>
      </c>
      <c r="C37" s="131" t="s">
        <v>186</v>
      </c>
    </row>
    <row r="38" spans="1:3" ht="45" x14ac:dyDescent="0.25">
      <c r="A38" s="124" t="s">
        <v>188</v>
      </c>
      <c r="B38" s="123" t="s">
        <v>189</v>
      </c>
      <c r="C38" s="131" t="s">
        <v>190</v>
      </c>
    </row>
    <row r="39" spans="1:3" ht="30" x14ac:dyDescent="0.25">
      <c r="A39" s="124" t="s">
        <v>191</v>
      </c>
      <c r="B39" s="123" t="s">
        <v>159</v>
      </c>
      <c r="C39" s="131" t="s">
        <v>160</v>
      </c>
    </row>
    <row r="40" spans="1:3" ht="45" x14ac:dyDescent="0.25">
      <c r="A40" s="124" t="s">
        <v>192</v>
      </c>
      <c r="B40" s="123" t="s">
        <v>193</v>
      </c>
      <c r="C40" s="131" t="s">
        <v>194</v>
      </c>
    </row>
    <row r="41" spans="1:3" ht="30" x14ac:dyDescent="0.25">
      <c r="A41" s="127" t="s">
        <v>195</v>
      </c>
      <c r="B41" s="126" t="s">
        <v>196</v>
      </c>
      <c r="C41" s="131" t="s">
        <v>197</v>
      </c>
    </row>
    <row r="42" spans="1:3" x14ac:dyDescent="0.25">
      <c r="A42" s="124" t="s">
        <v>209</v>
      </c>
      <c r="B42" s="126" t="s">
        <v>211</v>
      </c>
      <c r="C42" s="126" t="s">
        <v>210</v>
      </c>
    </row>
    <row r="43" spans="1:3" x14ac:dyDescent="0.25">
      <c r="A43" s="124" t="s">
        <v>198</v>
      </c>
      <c r="B43" s="126" t="s">
        <v>212</v>
      </c>
      <c r="C43" s="126" t="s">
        <v>194</v>
      </c>
    </row>
    <row r="44" spans="1:3" x14ac:dyDescent="0.25">
      <c r="A44" s="124" t="s">
        <v>199</v>
      </c>
      <c r="B44" s="123" t="s">
        <v>212</v>
      </c>
      <c r="C44" s="123" t="s">
        <v>194</v>
      </c>
    </row>
    <row r="45" spans="1:3" ht="30" x14ac:dyDescent="0.25">
      <c r="A45" s="124" t="s">
        <v>200</v>
      </c>
      <c r="B45" s="126" t="s">
        <v>211</v>
      </c>
      <c r="C45" s="126" t="s">
        <v>210</v>
      </c>
    </row>
    <row r="46" spans="1:3" x14ac:dyDescent="0.25">
      <c r="A46" s="124" t="s">
        <v>201</v>
      </c>
      <c r="B46" s="126" t="s">
        <v>213</v>
      </c>
      <c r="C46" s="126" t="s">
        <v>214</v>
      </c>
    </row>
    <row r="47" spans="1:3" x14ac:dyDescent="0.25">
      <c r="A47" s="124" t="s">
        <v>215</v>
      </c>
      <c r="B47" s="123" t="s">
        <v>216</v>
      </c>
      <c r="C47" s="123" t="s">
        <v>217</v>
      </c>
    </row>
    <row r="48" spans="1:3" ht="45" x14ac:dyDescent="0.25">
      <c r="A48" s="124" t="s">
        <v>202</v>
      </c>
      <c r="B48" s="123" t="s">
        <v>193</v>
      </c>
      <c r="C48" s="123" t="s">
        <v>194</v>
      </c>
    </row>
    <row r="49" spans="1:3" ht="30" x14ac:dyDescent="0.25">
      <c r="A49" s="124" t="s">
        <v>218</v>
      </c>
      <c r="B49" s="123" t="s">
        <v>219</v>
      </c>
      <c r="C49" s="123" t="s">
        <v>210</v>
      </c>
    </row>
    <row r="50" spans="1:3" ht="30" x14ac:dyDescent="0.25">
      <c r="A50" s="124" t="s">
        <v>203</v>
      </c>
      <c r="B50" s="123" t="s">
        <v>220</v>
      </c>
      <c r="C50" s="123" t="s">
        <v>210</v>
      </c>
    </row>
    <row r="51" spans="1:3" x14ac:dyDescent="0.25">
      <c r="A51" s="124" t="s">
        <v>204</v>
      </c>
      <c r="B51" s="123" t="s">
        <v>193</v>
      </c>
      <c r="C51" s="123" t="s">
        <v>194</v>
      </c>
    </row>
    <row r="52" spans="1:3" ht="30" x14ac:dyDescent="0.25">
      <c r="A52" s="124" t="s">
        <v>221</v>
      </c>
      <c r="B52" s="123" t="s">
        <v>196</v>
      </c>
      <c r="C52" s="123" t="s">
        <v>222</v>
      </c>
    </row>
    <row r="53" spans="1:3" ht="75" x14ac:dyDescent="0.25">
      <c r="A53" s="124" t="s">
        <v>205</v>
      </c>
      <c r="B53" s="123" t="s">
        <v>159</v>
      </c>
      <c r="C53" s="123" t="s">
        <v>223</v>
      </c>
    </row>
    <row r="54" spans="1:3" ht="30" x14ac:dyDescent="0.25">
      <c r="A54" s="124" t="s">
        <v>206</v>
      </c>
      <c r="B54" s="126" t="s">
        <v>224</v>
      </c>
      <c r="C54" s="123" t="s">
        <v>225</v>
      </c>
    </row>
    <row r="55" spans="1:3" ht="30" x14ac:dyDescent="0.25">
      <c r="A55" s="124" t="s">
        <v>207</v>
      </c>
      <c r="B55" s="123" t="s">
        <v>226</v>
      </c>
      <c r="C55" s="123" t="s">
        <v>227</v>
      </c>
    </row>
    <row r="56" spans="1:3" ht="45" x14ac:dyDescent="0.25">
      <c r="A56" s="124" t="s">
        <v>208</v>
      </c>
      <c r="B56" s="123" t="s">
        <v>229</v>
      </c>
      <c r="C56" s="123" t="s">
        <v>228</v>
      </c>
    </row>
    <row r="57" spans="1:3" ht="30" x14ac:dyDescent="0.25">
      <c r="A57" s="130" t="s">
        <v>230</v>
      </c>
      <c r="B57" s="122" t="s">
        <v>330</v>
      </c>
      <c r="C57" s="125" t="s">
        <v>149</v>
      </c>
    </row>
    <row r="58" spans="1:3" ht="30" x14ac:dyDescent="0.25">
      <c r="A58" s="130" t="s">
        <v>231</v>
      </c>
      <c r="B58" s="122" t="s">
        <v>331</v>
      </c>
      <c r="C58" s="125"/>
    </row>
    <row r="59" spans="1:3" ht="45" x14ac:dyDescent="0.25">
      <c r="A59" s="130" t="s">
        <v>233</v>
      </c>
      <c r="B59" s="123" t="s">
        <v>229</v>
      </c>
      <c r="C59" s="123" t="s">
        <v>228</v>
      </c>
    </row>
    <row r="60" spans="1:3" ht="45" x14ac:dyDescent="0.25">
      <c r="A60" s="130" t="s">
        <v>234</v>
      </c>
      <c r="B60" s="123" t="s">
        <v>229</v>
      </c>
      <c r="C60" s="123" t="s">
        <v>228</v>
      </c>
    </row>
    <row r="61" spans="1:3" ht="45" x14ac:dyDescent="0.25">
      <c r="A61" s="130" t="s">
        <v>235</v>
      </c>
      <c r="B61" s="123" t="s">
        <v>229</v>
      </c>
      <c r="C61" s="123" t="s">
        <v>228</v>
      </c>
    </row>
    <row r="62" spans="1:3" ht="45" x14ac:dyDescent="0.25">
      <c r="A62" s="120" t="s">
        <v>236</v>
      </c>
      <c r="B62" s="123" t="s">
        <v>229</v>
      </c>
      <c r="C62" s="123" t="s">
        <v>228</v>
      </c>
    </row>
    <row r="63" spans="1:3" ht="45" x14ac:dyDescent="0.25">
      <c r="A63" s="120" t="s">
        <v>389</v>
      </c>
      <c r="B63" s="123" t="s">
        <v>229</v>
      </c>
      <c r="C63" s="123" t="s">
        <v>228</v>
      </c>
    </row>
    <row r="64" spans="1:3" ht="45" x14ac:dyDescent="0.25">
      <c r="A64" s="127" t="s">
        <v>237</v>
      </c>
      <c r="B64" s="123" t="s">
        <v>229</v>
      </c>
      <c r="C64" s="123" t="s">
        <v>228</v>
      </c>
    </row>
    <row r="65" spans="1:3" ht="45" x14ac:dyDescent="0.25">
      <c r="A65" s="120" t="s">
        <v>238</v>
      </c>
      <c r="B65" s="123" t="s">
        <v>229</v>
      </c>
      <c r="C65" s="123" t="s">
        <v>228</v>
      </c>
    </row>
    <row r="66" spans="1:3" ht="30" x14ac:dyDescent="0.25">
      <c r="A66" s="119" t="s">
        <v>386</v>
      </c>
      <c r="B66" s="123" t="s">
        <v>240</v>
      </c>
      <c r="C66" s="119" t="s">
        <v>149</v>
      </c>
    </row>
    <row r="67" spans="1:3" ht="30" x14ac:dyDescent="0.25">
      <c r="A67" s="119" t="s">
        <v>387</v>
      </c>
      <c r="B67" s="123" t="s">
        <v>240</v>
      </c>
      <c r="C67" s="119" t="s">
        <v>149</v>
      </c>
    </row>
    <row r="68" spans="1:3" ht="30" x14ac:dyDescent="0.25">
      <c r="A68" s="119" t="s">
        <v>388</v>
      </c>
      <c r="B68" s="123" t="s">
        <v>240</v>
      </c>
      <c r="C68" s="119" t="s">
        <v>149</v>
      </c>
    </row>
    <row r="69" spans="1:3" x14ac:dyDescent="0.25">
      <c r="A69" s="119" t="s">
        <v>241</v>
      </c>
      <c r="B69" s="123" t="s">
        <v>242</v>
      </c>
      <c r="C69" s="119" t="s">
        <v>243</v>
      </c>
    </row>
    <row r="70" spans="1:3" x14ac:dyDescent="0.25">
      <c r="A70" s="119" t="s">
        <v>239</v>
      </c>
      <c r="B70" s="123" t="s">
        <v>246</v>
      </c>
      <c r="C70" t="s">
        <v>245</v>
      </c>
    </row>
    <row r="71" spans="1:3" x14ac:dyDescent="0.25">
      <c r="A71" s="119" t="s">
        <v>233</v>
      </c>
      <c r="B71" s="126" t="s">
        <v>244</v>
      </c>
      <c r="C71" t="s">
        <v>245</v>
      </c>
    </row>
    <row r="72" spans="1:3" ht="45" x14ac:dyDescent="0.25">
      <c r="A72" s="119" t="s">
        <v>247</v>
      </c>
      <c r="B72" s="123" t="s">
        <v>159</v>
      </c>
      <c r="C72" s="119" t="s">
        <v>254</v>
      </c>
    </row>
    <row r="73" spans="1:3" x14ac:dyDescent="0.25">
      <c r="A73" s="119" t="s">
        <v>248</v>
      </c>
      <c r="B73" s="123" t="s">
        <v>159</v>
      </c>
      <c r="C73" s="119" t="s">
        <v>255</v>
      </c>
    </row>
    <row r="74" spans="1:3" ht="45" x14ac:dyDescent="0.25">
      <c r="A74" s="119" t="s">
        <v>249</v>
      </c>
      <c r="B74" s="123" t="s">
        <v>256</v>
      </c>
      <c r="C74" s="117" t="s">
        <v>257</v>
      </c>
    </row>
    <row r="75" spans="1:3" ht="30" x14ac:dyDescent="0.25">
      <c r="A75" s="119" t="s">
        <v>250</v>
      </c>
      <c r="B75" s="123" t="s">
        <v>159</v>
      </c>
      <c r="C75" s="119" t="s">
        <v>254</v>
      </c>
    </row>
    <row r="76" spans="1:3" ht="45" x14ac:dyDescent="0.25">
      <c r="A76" s="120" t="s">
        <v>258</v>
      </c>
      <c r="B76" s="123" t="s">
        <v>159</v>
      </c>
      <c r="C76" s="119" t="s">
        <v>254</v>
      </c>
    </row>
    <row r="77" spans="1:3" ht="30" x14ac:dyDescent="0.25">
      <c r="A77" s="119" t="s">
        <v>251</v>
      </c>
      <c r="B77" s="123" t="s">
        <v>259</v>
      </c>
      <c r="C77" s="119" t="s">
        <v>255</v>
      </c>
    </row>
    <row r="78" spans="1:3" x14ac:dyDescent="0.25">
      <c r="A78" s="119" t="s">
        <v>252</v>
      </c>
      <c r="B78" s="123" t="s">
        <v>159</v>
      </c>
      <c r="C78" s="119" t="s">
        <v>254</v>
      </c>
    </row>
    <row r="79" spans="1:3" x14ac:dyDescent="0.25">
      <c r="A79" s="119" t="s">
        <v>253</v>
      </c>
      <c r="B79" s="123" t="s">
        <v>159</v>
      </c>
      <c r="C79" s="119" t="s">
        <v>254</v>
      </c>
    </row>
    <row r="80" spans="1:3" ht="30" x14ac:dyDescent="0.25">
      <c r="A80" s="119" t="s">
        <v>260</v>
      </c>
      <c r="B80" s="123" t="s">
        <v>159</v>
      </c>
      <c r="C80" s="119" t="s">
        <v>255</v>
      </c>
    </row>
    <row r="81" spans="1:3" ht="30" x14ac:dyDescent="0.25">
      <c r="A81" s="124" t="s">
        <v>261</v>
      </c>
      <c r="B81" s="123" t="s">
        <v>267</v>
      </c>
      <c r="C81" s="121" t="s">
        <v>268</v>
      </c>
    </row>
    <row r="82" spans="1:3" x14ac:dyDescent="0.25">
      <c r="A82" s="124" t="s">
        <v>273</v>
      </c>
      <c r="B82" s="123" t="s">
        <v>142</v>
      </c>
      <c r="C82" s="123" t="s">
        <v>149</v>
      </c>
    </row>
    <row r="83" spans="1:3" ht="30" x14ac:dyDescent="0.25">
      <c r="A83" s="124" t="s">
        <v>269</v>
      </c>
      <c r="B83" s="123" t="s">
        <v>159</v>
      </c>
      <c r="C83" s="123" t="s">
        <v>270</v>
      </c>
    </row>
    <row r="84" spans="1:3" x14ac:dyDescent="0.25">
      <c r="A84" s="124" t="s">
        <v>271</v>
      </c>
      <c r="B84" s="123" t="s">
        <v>159</v>
      </c>
      <c r="C84" s="123" t="s">
        <v>270</v>
      </c>
    </row>
    <row r="85" spans="1:3" ht="30" x14ac:dyDescent="0.25">
      <c r="A85" s="124" t="s">
        <v>272</v>
      </c>
      <c r="B85" s="123" t="s">
        <v>159</v>
      </c>
      <c r="C85" s="123" t="s">
        <v>270</v>
      </c>
    </row>
    <row r="86" spans="1:3" x14ac:dyDescent="0.25">
      <c r="A86" s="124" t="s">
        <v>274</v>
      </c>
      <c r="B86" s="123" t="s">
        <v>275</v>
      </c>
      <c r="C86" s="123" t="s">
        <v>190</v>
      </c>
    </row>
    <row r="87" spans="1:3" ht="30" x14ac:dyDescent="0.25">
      <c r="A87" s="124" t="s">
        <v>276</v>
      </c>
      <c r="B87" s="123" t="s">
        <v>193</v>
      </c>
      <c r="C87" s="123" t="s">
        <v>277</v>
      </c>
    </row>
    <row r="88" spans="1:3" ht="60" x14ac:dyDescent="0.25">
      <c r="A88" s="124" t="s">
        <v>262</v>
      </c>
      <c r="B88" s="126" t="s">
        <v>278</v>
      </c>
      <c r="C88" s="126" t="s">
        <v>279</v>
      </c>
    </row>
    <row r="89" spans="1:3" ht="60" x14ac:dyDescent="0.25">
      <c r="A89" s="124" t="s">
        <v>262</v>
      </c>
      <c r="B89" s="126" t="s">
        <v>278</v>
      </c>
      <c r="C89" s="126" t="s">
        <v>279</v>
      </c>
    </row>
    <row r="90" spans="1:3" x14ac:dyDescent="0.25">
      <c r="A90" s="124" t="s">
        <v>263</v>
      </c>
      <c r="B90" s="126" t="s">
        <v>280</v>
      </c>
      <c r="C90" s="126" t="s">
        <v>281</v>
      </c>
    </row>
    <row r="91" spans="1:3" ht="75" x14ac:dyDescent="0.25">
      <c r="A91" s="124" t="s">
        <v>264</v>
      </c>
      <c r="B91" s="126"/>
      <c r="C91" s="126"/>
    </row>
    <row r="92" spans="1:3" x14ac:dyDescent="0.25">
      <c r="A92" s="124" t="s">
        <v>265</v>
      </c>
      <c r="B92" s="123" t="s">
        <v>159</v>
      </c>
      <c r="C92" s="123" t="s">
        <v>160</v>
      </c>
    </row>
    <row r="93" spans="1:3" ht="60" x14ac:dyDescent="0.25">
      <c r="A93" s="124" t="s">
        <v>266</v>
      </c>
      <c r="B93" s="121" t="s">
        <v>282</v>
      </c>
      <c r="C93" s="121" t="s">
        <v>283</v>
      </c>
    </row>
    <row r="94" spans="1:3" x14ac:dyDescent="0.25">
      <c r="A94" s="118" t="s">
        <v>302</v>
      </c>
      <c r="B94" s="118" t="s">
        <v>159</v>
      </c>
      <c r="C94" s="126" t="s">
        <v>303</v>
      </c>
    </row>
    <row r="95" spans="1:3" x14ac:dyDescent="0.25">
      <c r="A95" s="118" t="s">
        <v>304</v>
      </c>
      <c r="B95" s="118" t="s">
        <v>159</v>
      </c>
      <c r="C95" s="126" t="s">
        <v>303</v>
      </c>
    </row>
    <row r="96" spans="1:3" x14ac:dyDescent="0.25">
      <c r="A96" s="118" t="s">
        <v>305</v>
      </c>
      <c r="B96" s="118" t="s">
        <v>159</v>
      </c>
      <c r="C96" s="126" t="s">
        <v>303</v>
      </c>
    </row>
    <row r="97" spans="1:3" x14ac:dyDescent="0.25">
      <c r="A97" s="118" t="s">
        <v>306</v>
      </c>
      <c r="B97" s="118" t="s">
        <v>159</v>
      </c>
      <c r="C97" s="126" t="s">
        <v>303</v>
      </c>
    </row>
    <row r="98" spans="1:3" x14ac:dyDescent="0.25">
      <c r="A98" s="118" t="s">
        <v>307</v>
      </c>
      <c r="B98" s="118" t="s">
        <v>159</v>
      </c>
      <c r="C98" s="126" t="s">
        <v>303</v>
      </c>
    </row>
    <row r="99" spans="1:3" x14ac:dyDescent="0.25">
      <c r="A99" s="118" t="s">
        <v>308</v>
      </c>
      <c r="B99" s="118" t="s">
        <v>159</v>
      </c>
      <c r="C99" s="126" t="s">
        <v>303</v>
      </c>
    </row>
    <row r="100" spans="1:3" x14ac:dyDescent="0.25">
      <c r="A100" s="118" t="s">
        <v>309</v>
      </c>
      <c r="B100" s="118" t="s">
        <v>159</v>
      </c>
      <c r="C100" s="126" t="s">
        <v>303</v>
      </c>
    </row>
    <row r="101" spans="1:3" x14ac:dyDescent="0.25">
      <c r="A101" s="118" t="s">
        <v>310</v>
      </c>
      <c r="B101" s="118" t="s">
        <v>159</v>
      </c>
      <c r="C101" s="126" t="s">
        <v>303</v>
      </c>
    </row>
    <row r="102" spans="1:3" x14ac:dyDescent="0.25">
      <c r="A102" s="118" t="s">
        <v>311</v>
      </c>
      <c r="B102" s="118" t="s">
        <v>159</v>
      </c>
      <c r="C102" s="126" t="s">
        <v>303</v>
      </c>
    </row>
    <row r="103" spans="1:3" x14ac:dyDescent="0.25">
      <c r="A103" s="118" t="s">
        <v>312</v>
      </c>
      <c r="B103" s="118" t="s">
        <v>159</v>
      </c>
      <c r="C103" s="126" t="s">
        <v>303</v>
      </c>
    </row>
    <row r="104" spans="1:3" x14ac:dyDescent="0.25">
      <c r="A104" s="118" t="s">
        <v>313</v>
      </c>
      <c r="B104" s="118" t="s">
        <v>159</v>
      </c>
      <c r="C104" s="126" t="s">
        <v>303</v>
      </c>
    </row>
    <row r="105" spans="1:3" x14ac:dyDescent="0.25">
      <c r="A105" s="118" t="s">
        <v>314</v>
      </c>
      <c r="B105" s="118" t="s">
        <v>159</v>
      </c>
      <c r="C105" s="126" t="s">
        <v>303</v>
      </c>
    </row>
    <row r="106" spans="1:3" x14ac:dyDescent="0.25">
      <c r="A106" s="118" t="s">
        <v>315</v>
      </c>
      <c r="B106" s="118" t="s">
        <v>159</v>
      </c>
      <c r="C106" s="126" t="s">
        <v>303</v>
      </c>
    </row>
    <row r="107" spans="1:3" x14ac:dyDescent="0.25">
      <c r="A107" s="118" t="s">
        <v>316</v>
      </c>
      <c r="B107" s="118" t="s">
        <v>159</v>
      </c>
      <c r="C107" s="126" t="s">
        <v>303</v>
      </c>
    </row>
    <row r="108" spans="1:3" x14ac:dyDescent="0.25">
      <c r="A108" s="118" t="s">
        <v>317</v>
      </c>
      <c r="B108" s="118" t="s">
        <v>159</v>
      </c>
      <c r="C108" s="126" t="s">
        <v>303</v>
      </c>
    </row>
    <row r="109" spans="1:3" x14ac:dyDescent="0.25">
      <c r="A109" s="118" t="s">
        <v>318</v>
      </c>
      <c r="B109" s="118" t="s">
        <v>159</v>
      </c>
      <c r="C109" s="126" t="s">
        <v>303</v>
      </c>
    </row>
    <row r="110" spans="1:3" x14ac:dyDescent="0.25">
      <c r="A110" s="118" t="s">
        <v>319</v>
      </c>
      <c r="B110" s="118" t="s">
        <v>159</v>
      </c>
      <c r="C110" s="126" t="s">
        <v>303</v>
      </c>
    </row>
    <row r="111" spans="1:3" x14ac:dyDescent="0.25">
      <c r="A111" s="118" t="s">
        <v>320</v>
      </c>
      <c r="B111" s="118" t="s">
        <v>159</v>
      </c>
      <c r="C111" s="126" t="s">
        <v>303</v>
      </c>
    </row>
    <row r="112" spans="1:3" x14ac:dyDescent="0.25">
      <c r="A112" s="118" t="s">
        <v>321</v>
      </c>
      <c r="B112" s="118" t="s">
        <v>159</v>
      </c>
      <c r="C112" s="126" t="s">
        <v>303</v>
      </c>
    </row>
    <row r="113" spans="1:4" x14ac:dyDescent="0.25">
      <c r="A113" s="118" t="s">
        <v>322</v>
      </c>
      <c r="B113" s="118" t="s">
        <v>159</v>
      </c>
      <c r="C113" s="126" t="s">
        <v>303</v>
      </c>
    </row>
    <row r="114" spans="1:4" x14ac:dyDescent="0.25">
      <c r="A114" s="118" t="s">
        <v>323</v>
      </c>
      <c r="B114" s="118" t="s">
        <v>159</v>
      </c>
      <c r="C114" s="126" t="s">
        <v>303</v>
      </c>
    </row>
    <row r="115" spans="1:4" x14ac:dyDescent="0.25">
      <c r="A115" s="118" t="s">
        <v>324</v>
      </c>
      <c r="B115" s="118" t="s">
        <v>159</v>
      </c>
      <c r="C115" s="126" t="s">
        <v>303</v>
      </c>
    </row>
    <row r="116" spans="1:4" ht="45" x14ac:dyDescent="0.25">
      <c r="A116" s="154" t="s">
        <v>325</v>
      </c>
      <c r="B116" s="118" t="s">
        <v>159</v>
      </c>
      <c r="C116" s="126" t="s">
        <v>303</v>
      </c>
    </row>
    <row r="117" spans="1:4" x14ac:dyDescent="0.25">
      <c r="A117" s="118" t="s">
        <v>326</v>
      </c>
      <c r="B117" s="118" t="s">
        <v>159</v>
      </c>
      <c r="C117" s="126" t="s">
        <v>303</v>
      </c>
    </row>
    <row r="118" spans="1:4" ht="45" x14ac:dyDescent="0.25">
      <c r="A118" s="130" t="s">
        <v>335</v>
      </c>
      <c r="B118" s="120" t="s">
        <v>336</v>
      </c>
      <c r="C118" s="157" t="s">
        <v>337</v>
      </c>
      <c r="D118" s="130"/>
    </row>
    <row r="119" spans="1:4" x14ac:dyDescent="0.25">
      <c r="A119" s="130" t="s">
        <v>338</v>
      </c>
      <c r="B119" s="129" t="s">
        <v>193</v>
      </c>
      <c r="C119" s="128" t="s">
        <v>194</v>
      </c>
      <c r="D119" s="130"/>
    </row>
    <row r="120" spans="1:4" x14ac:dyDescent="0.25">
      <c r="A120" s="130" t="s">
        <v>339</v>
      </c>
      <c r="B120" s="129" t="s">
        <v>193</v>
      </c>
      <c r="C120" s="128" t="s">
        <v>194</v>
      </c>
      <c r="D120" s="130"/>
    </row>
    <row r="121" spans="1:4" x14ac:dyDescent="0.25">
      <c r="A121" s="129" t="s">
        <v>340</v>
      </c>
      <c r="B121" s="129" t="s">
        <v>133</v>
      </c>
      <c r="C121" s="128" t="s">
        <v>341</v>
      </c>
      <c r="D121" s="130"/>
    </row>
    <row r="122" spans="1:4" x14ac:dyDescent="0.25">
      <c r="A122" s="129" t="s">
        <v>342</v>
      </c>
      <c r="B122" s="129" t="s">
        <v>343</v>
      </c>
      <c r="C122" s="128" t="s">
        <v>190</v>
      </c>
      <c r="D122" s="130"/>
    </row>
    <row r="123" spans="1:4" x14ac:dyDescent="0.25">
      <c r="A123" s="164" t="s">
        <v>362</v>
      </c>
      <c r="B123" s="165" t="s">
        <v>363</v>
      </c>
      <c r="C123" s="131" t="s">
        <v>190</v>
      </c>
    </row>
    <row r="124" spans="1:4" ht="30" x14ac:dyDescent="0.25">
      <c r="A124" s="119" t="s">
        <v>365</v>
      </c>
      <c r="B124" s="119" t="s">
        <v>366</v>
      </c>
      <c r="C124" s="166" t="s">
        <v>367</v>
      </c>
    </row>
    <row r="125" spans="1:4" ht="45" x14ac:dyDescent="0.25">
      <c r="A125" s="127" t="s">
        <v>368</v>
      </c>
      <c r="B125" s="130" t="s">
        <v>60</v>
      </c>
      <c r="C125" s="128" t="s">
        <v>190</v>
      </c>
    </row>
    <row r="126" spans="1:4" x14ac:dyDescent="0.25">
      <c r="A126" s="130" t="s">
        <v>369</v>
      </c>
      <c r="B126" s="167" t="s">
        <v>193</v>
      </c>
      <c r="C126" s="131" t="s">
        <v>370</v>
      </c>
    </row>
    <row r="127" spans="1:4" ht="30" x14ac:dyDescent="0.25">
      <c r="A127" s="130" t="s">
        <v>371</v>
      </c>
      <c r="B127" s="120" t="s">
        <v>372</v>
      </c>
      <c r="C127" s="128" t="s">
        <v>190</v>
      </c>
    </row>
    <row r="128" spans="1:4" x14ac:dyDescent="0.25">
      <c r="A128" t="s">
        <v>381</v>
      </c>
      <c r="B128" t="s">
        <v>382</v>
      </c>
      <c r="C128" s="131" t="s">
        <v>190</v>
      </c>
    </row>
    <row r="129" spans="1:3" x14ac:dyDescent="0.25">
      <c r="A129" s="177" t="s">
        <v>393</v>
      </c>
      <c r="B129" s="177" t="s">
        <v>394</v>
      </c>
      <c r="C129" s="178" t="s">
        <v>394</v>
      </c>
    </row>
    <row r="130" spans="1:3" x14ac:dyDescent="0.25">
      <c r="A130" s="177" t="s">
        <v>396</v>
      </c>
      <c r="B130" s="177" t="s">
        <v>212</v>
      </c>
      <c r="C130" s="178" t="s">
        <v>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2"/>
  <sheetViews>
    <sheetView topLeftCell="H1" zoomScale="85" zoomScaleNormal="85" workbookViewId="0">
      <selection activeCell="K15" sqref="K15"/>
    </sheetView>
  </sheetViews>
  <sheetFormatPr defaultRowHeight="15" x14ac:dyDescent="0.25"/>
  <cols>
    <col min="1" max="1" width="8.7109375" hidden="1" customWidth="1"/>
    <col min="2" max="2" width="16.85546875" hidden="1" customWidth="1"/>
    <col min="3" max="4" width="43.7109375" hidden="1" customWidth="1"/>
    <col min="5" max="5" width="41.5703125" hidden="1" customWidth="1"/>
    <col min="6" max="6" width="40.5703125" hidden="1" customWidth="1"/>
    <col min="7" max="7" width="9.42578125" hidden="1" customWidth="1"/>
    <col min="8" max="8" width="8.7109375" customWidth="1"/>
    <col min="9" max="9" width="11" customWidth="1"/>
    <col min="10" max="10" width="61.140625" customWidth="1"/>
    <col min="11" max="11" width="46.28515625" customWidth="1"/>
    <col min="13" max="13" width="38.42578125" customWidth="1"/>
  </cols>
  <sheetData>
    <row r="1" spans="3:11" x14ac:dyDescent="0.25">
      <c r="C1" t="s">
        <v>375</v>
      </c>
      <c r="D1" t="s">
        <v>374</v>
      </c>
      <c r="E1" t="s">
        <v>373</v>
      </c>
      <c r="F1" t="s">
        <v>376</v>
      </c>
    </row>
    <row r="2" spans="3:11" ht="30" customHeight="1" thickBot="1" x14ac:dyDescent="0.3">
      <c r="C2" s="169">
        <f ca="1">IF(ISNUMBER(SEARCH($J$4,Сооруж[[#This Row],[Сооружения]])),MAX(Сооруж[[#Headers],[Столбец1]]:OFFSET(Сооруж[[#This Row],[Столбец1]],-1,0))+1,0)</f>
        <v>0</v>
      </c>
      <c r="D2" s="135" t="s">
        <v>134</v>
      </c>
      <c r="E2" s="132" t="s">
        <v>383</v>
      </c>
      <c r="F2" t="str">
        <f ca="1">IFERROR(VLOOKUP(ROW(Фильтр[[#This Row],[Фильтр]])-ROW(Фильтр[[#Headers],[Фильтр]]),Сооруж[],2,FALSE),"")</f>
        <v>Железнодорожные мосты с пролетами свыше 42 м.</v>
      </c>
    </row>
    <row r="3" spans="3:11" ht="30" customHeight="1" x14ac:dyDescent="0.25">
      <c r="C3" s="135">
        <f ca="1">IF(ISNUMBER(SEARCH($J$4,Сооруж[[#This Row],[Сооружения]])),MAX(Сооруж[[#Headers],[Столбец1]]:OFFSET(Сооруж[[#This Row],[Столбец1]],-1,0))+1,0)</f>
        <v>1</v>
      </c>
      <c r="D3" s="135" t="s">
        <v>135</v>
      </c>
      <c r="E3" s="132" t="s">
        <v>383</v>
      </c>
      <c r="F3" t="str">
        <f ca="1">IFERROR(VLOOKUP(ROW(Фильтр[[#This Row],[Фильтр]])-ROW(Фильтр[[#Headers],[Фильтр]]),Сооруж[],2,FALSE),"")</f>
        <v/>
      </c>
      <c r="J3" s="171" t="s">
        <v>377</v>
      </c>
      <c r="K3" s="172"/>
    </row>
    <row r="4" spans="3:11" ht="30" customHeight="1" x14ac:dyDescent="0.25">
      <c r="C4" s="134">
        <f ca="1">IF(ISNUMBER(SEARCH($J$4,Сооруж[[#This Row],[Сооружения]])),MAX(Сооруж[[#Headers],[Столбец1]]:OFFSET(Сооруж[[#This Row],[Столбец1]],-1,0))+1,0)</f>
        <v>0</v>
      </c>
      <c r="D4" s="134" t="s">
        <v>136</v>
      </c>
      <c r="E4" s="132" t="s">
        <v>383</v>
      </c>
      <c r="F4" t="str">
        <f ca="1">IFERROR(VLOOKUP(ROW(Фильтр[[#This Row],[Фильтр]])-ROW(Фильтр[[#Headers],[Фильтр]]),Сооруж[],2,FALSE),"")</f>
        <v/>
      </c>
      <c r="J4" s="174" t="s">
        <v>135</v>
      </c>
      <c r="K4" s="173" t="s">
        <v>379</v>
      </c>
    </row>
    <row r="5" spans="3:11" ht="30" customHeight="1" thickBot="1" x14ac:dyDescent="0.3">
      <c r="C5" s="135">
        <f ca="1">IF(ISNUMBER(SEARCH($J$4,Сооруж[[#This Row],[Сооружения]])),MAX(Сооруж[[#Headers],[Столбец1]]:OFFSET(Сооруж[[#This Row],[Столбец1]],-1,0))+1,0)</f>
        <v>0</v>
      </c>
      <c r="D5" s="135" t="s">
        <v>144</v>
      </c>
      <c r="E5" s="132" t="s">
        <v>383</v>
      </c>
      <c r="F5" t="str">
        <f ca="1">IFERROR(VLOOKUP(ROW(Фильтр[[#This Row],[Фильтр]])-ROW(Фильтр[[#Headers],[Фильтр]]),Сооруж[],2,FALSE),"")</f>
        <v/>
      </c>
      <c r="J5" s="228" t="s">
        <v>378</v>
      </c>
      <c r="K5" s="229"/>
    </row>
    <row r="6" spans="3:11" ht="30" customHeight="1" x14ac:dyDescent="0.25">
      <c r="C6" s="135">
        <f ca="1">IF(ISNUMBER(SEARCH($J$4,Сооруж[[#This Row],[Сооружения]])),MAX(Сооруж[[#Headers],[Столбец1]]:OFFSET(Сооруж[[#This Row],[Столбец1]],-1,0))+1,0)</f>
        <v>0</v>
      </c>
      <c r="D6" s="135" t="s">
        <v>137</v>
      </c>
      <c r="E6" s="132" t="s">
        <v>383</v>
      </c>
      <c r="F6" t="str">
        <f ca="1">IFERROR(VLOOKUP(ROW(Фильтр[[#This Row],[Фильтр]])-ROW(Фильтр[[#Headers],[Фильтр]]),Сооруж[],2,FALSE),"")</f>
        <v/>
      </c>
      <c r="J6" s="231" t="str">
        <f>VLOOKUP(J4,$D$2:$E$140,2,0)</f>
        <v>ИСКУССТВЕННЫЕ_СООРУЖЕНИЯ_МОСТЫ_ПЕРЕХОДЫ_ПУТЕПРОВОДЫ</v>
      </c>
      <c r="K6" s="232"/>
    </row>
    <row r="7" spans="3:11" ht="30" customHeight="1" thickBot="1" x14ac:dyDescent="0.3">
      <c r="C7" s="135">
        <f ca="1">IF(ISNUMBER(SEARCH($J$4,Сооруж[[#This Row],[Сооружения]])),MAX(Сооруж[[#Headers],[Столбец1]]:OFFSET(Сооруж[[#This Row],[Столбец1]],-1,0))+1,0)</f>
        <v>0</v>
      </c>
      <c r="D7" s="135" t="s">
        <v>138</v>
      </c>
      <c r="E7" s="132" t="s">
        <v>383</v>
      </c>
      <c r="F7" t="str">
        <f ca="1">IFERROR(VLOOKUP(ROW(Фильтр[[#This Row],[Фильтр]])-ROW(Фильтр[[#Headers],[Фильтр]]),Сооруж[],2,FALSE),"")</f>
        <v/>
      </c>
      <c r="J7" s="233"/>
      <c r="K7" s="234"/>
    </row>
    <row r="8" spans="3:11" ht="30" customHeight="1" x14ac:dyDescent="0.25">
      <c r="C8" s="135">
        <f ca="1">IF(ISNUMBER(SEARCH($J$4,Сооруж[[#This Row],[Сооружения]])),MAX(Сооруж[[#Headers],[Столбец1]]:OFFSET(Сооруж[[#This Row],[Столбец1]],-1,0))+1,0)</f>
        <v>0</v>
      </c>
      <c r="D8" s="135" t="s">
        <v>139</v>
      </c>
      <c r="E8" s="132" t="s">
        <v>383</v>
      </c>
      <c r="F8" t="str">
        <f ca="1">IFERROR(VLOOKUP(ROW(Фильтр[[#This Row],[Фильтр]])-ROW(Фильтр[[#Headers],[Фильтр]]),Сооруж[],2,FALSE),"")</f>
        <v/>
      </c>
    </row>
    <row r="9" spans="3:11" ht="30" customHeight="1" x14ac:dyDescent="0.25">
      <c r="C9" s="135">
        <f ca="1">IF(ISNUMBER(SEARCH($J$4,Сооруж[[#This Row],[Сооружения]])),MAX(Сооруж[[#Headers],[Столбец1]]:OFFSET(Сооруж[[#This Row],[Столбец1]],-1,0))+1,0)</f>
        <v>0</v>
      </c>
      <c r="D9" s="135" t="s">
        <v>140</v>
      </c>
      <c r="E9" s="132" t="s">
        <v>383</v>
      </c>
      <c r="F9" t="str">
        <f ca="1">IFERROR(VLOOKUP(ROW(Фильтр[[#This Row],[Фильтр]])-ROW(Фильтр[[#Headers],[Фильтр]]),Сооруж[],2,FALSE),"")</f>
        <v/>
      </c>
      <c r="J9" s="230" t="s">
        <v>380</v>
      </c>
      <c r="K9" s="230"/>
    </row>
    <row r="10" spans="3:11" ht="30" customHeight="1" x14ac:dyDescent="0.25">
      <c r="C10" s="135">
        <f ca="1">IF(ISNUMBER(SEARCH($J$4,Сооруж[[#This Row],[Сооружения]])),MAX(Сооруж[[#Headers],[Столбец1]]:OFFSET(Сооруж[[#This Row],[Столбец1]],-1,0))+1,0)</f>
        <v>0</v>
      </c>
      <c r="D10" s="135" t="s">
        <v>141</v>
      </c>
      <c r="E10" s="132" t="s">
        <v>383</v>
      </c>
      <c r="F10" t="str">
        <f ca="1">IFERROR(VLOOKUP(ROW(Фильтр[[#This Row],[Фильтр]])-ROW(Фильтр[[#Headers],[Фильтр]]),Сооруж[],2,FALSE),"")</f>
        <v/>
      </c>
    </row>
    <row r="11" spans="3:11" ht="30" customHeight="1" x14ac:dyDescent="0.25">
      <c r="C11" s="138">
        <f ca="1">IF(ISNUMBER(SEARCH($J$4,Сооруж[[#This Row],[Сооружения]])),MAX(Сооруж[[#Headers],[Столбец1]]:OFFSET(Сооруж[[#This Row],[Столбец1]],-1,0))+1,0)</f>
        <v>0</v>
      </c>
      <c r="D11" s="138" t="s">
        <v>143</v>
      </c>
      <c r="E11" s="132" t="s">
        <v>383</v>
      </c>
      <c r="F11" t="str">
        <f ca="1">IFERROR(VLOOKUP(ROW(Фильтр[[#This Row],[Фильтр]])-ROW(Фильтр[[#Headers],[Фильтр]]),Сооруж[],2,FALSE),"")</f>
        <v/>
      </c>
    </row>
    <row r="12" spans="3:11" ht="30" customHeight="1" x14ac:dyDescent="0.25">
      <c r="C12" s="135">
        <f ca="1">IF(ISNUMBER(SEARCH($J$4,Сооруж[[#This Row],[Сооружения]])),MAX(Сооруж[[#Headers],[Столбец1]]:OFFSET(Сооруж[[#This Row],[Столбец1]],-1,0))+1,0)</f>
        <v>0</v>
      </c>
      <c r="D12" s="135" t="s">
        <v>147</v>
      </c>
      <c r="E12" s="132" t="s">
        <v>284</v>
      </c>
      <c r="F12" t="str">
        <f ca="1">IFERROR(VLOOKUP(ROW(Фильтр[[#This Row],[Фильтр]])-ROW(Фильтр[[#Headers],[Фильтр]]),Сооруж[],2,FALSE),"")</f>
        <v/>
      </c>
    </row>
    <row r="13" spans="3:11" ht="30" customHeight="1" x14ac:dyDescent="0.25">
      <c r="C13" s="135">
        <f ca="1">IF(ISNUMBER(SEARCH($J$4,Сооруж[[#This Row],[Сооружения]])),MAX(Сооруж[[#Headers],[Столбец1]]:OFFSET(Сооруж[[#This Row],[Столбец1]],-1,0))+1,0)</f>
        <v>0</v>
      </c>
      <c r="D13" s="135" t="s">
        <v>148</v>
      </c>
      <c r="E13" s="132" t="s">
        <v>284</v>
      </c>
      <c r="F13" t="str">
        <f ca="1">IFERROR(VLOOKUP(ROW(Фильтр[[#This Row],[Фильтр]])-ROW(Фильтр[[#Headers],[Фильтр]]),Сооруж[],2,FALSE),"")</f>
        <v/>
      </c>
    </row>
    <row r="14" spans="3:11" ht="30" customHeight="1" x14ac:dyDescent="0.25">
      <c r="C14" s="135">
        <f ca="1">IF(ISNUMBER(SEARCH($J$4,Сооруж[[#This Row],[Сооружения]])),MAX(Сооруж[[#Headers],[Столбец1]]:OFFSET(Сооруж[[#This Row],[Столбец1]],-1,0))+1,0)</f>
        <v>0</v>
      </c>
      <c r="D14" s="135" t="s">
        <v>145</v>
      </c>
      <c r="E14" s="132" t="s">
        <v>284</v>
      </c>
      <c r="F14" t="str">
        <f ca="1">IFERROR(VLOOKUP(ROW(Фильтр[[#This Row],[Фильтр]])-ROW(Фильтр[[#Headers],[Фильтр]]),Сооруж[],2,FALSE),"")</f>
        <v/>
      </c>
    </row>
    <row r="15" spans="3:11" ht="30" customHeight="1" x14ac:dyDescent="0.25">
      <c r="C15" s="138">
        <f ca="1">IF(ISNUMBER(SEARCH($J$4,Сооруж[[#This Row],[Сооружения]])),MAX(Сооруж[[#Headers],[Столбец1]]:OFFSET(Сооруж[[#This Row],[Столбец1]],-1,0))+1,0)</f>
        <v>0</v>
      </c>
      <c r="D15" s="138" t="s">
        <v>150</v>
      </c>
      <c r="E15" s="132" t="s">
        <v>284</v>
      </c>
      <c r="F15" t="str">
        <f ca="1">IFERROR(VLOOKUP(ROW(Фильтр[[#This Row],[Фильтр]])-ROW(Фильтр[[#Headers],[Фильтр]]),Сооруж[],2,FALSE),"")</f>
        <v/>
      </c>
    </row>
    <row r="16" spans="3:11" ht="30" customHeight="1" x14ac:dyDescent="0.25">
      <c r="C16" s="139">
        <f ca="1">IF(ISNUMBER(SEARCH($J$4,Сооруж[[#This Row],[Сооружения]])),MAX(Сооруж[[#Headers],[Столбец1]]:OFFSET(Сооруж[[#This Row],[Столбец1]],-1,0))+1,0)</f>
        <v>0</v>
      </c>
      <c r="D16" s="139" t="s">
        <v>151</v>
      </c>
      <c r="E16" s="132" t="s">
        <v>284</v>
      </c>
      <c r="F16" t="str">
        <f ca="1">IFERROR(VLOOKUP(ROW(Фильтр[[#This Row],[Фильтр]])-ROW(Фильтр[[#Headers],[Фильтр]]),Сооруж[],2,FALSE),"")</f>
        <v/>
      </c>
    </row>
    <row r="17" spans="3:6" ht="30" customHeight="1" x14ac:dyDescent="0.25">
      <c r="C17" s="135">
        <f ca="1">IF(ISNUMBER(SEARCH($J$4,Сооруж[[#This Row],[Сооружения]])),MAX(Сооруж[[#Headers],[Столбец1]]:OFFSET(Сооруж[[#This Row],[Столбец1]],-1,0))+1,0)</f>
        <v>0</v>
      </c>
      <c r="D17" s="135" t="s">
        <v>155</v>
      </c>
      <c r="E17" s="132" t="s">
        <v>284</v>
      </c>
      <c r="F17" t="str">
        <f ca="1">IFERROR(VLOOKUP(ROW(Фильтр[[#This Row],[Фильтр]])-ROW(Фильтр[[#Headers],[Фильтр]]),Сооруж[],2,FALSE),"")</f>
        <v/>
      </c>
    </row>
    <row r="18" spans="3:6" ht="30" customHeight="1" x14ac:dyDescent="0.25">
      <c r="C18" s="138">
        <f ca="1">IF(ISNUMBER(SEARCH($J$4,Сооруж[[#This Row],[Сооружения]])),MAX(Сооруж[[#Headers],[Столбец1]]:OFFSET(Сооруж[[#This Row],[Столбец1]],-1,0))+1,0)</f>
        <v>0</v>
      </c>
      <c r="D18" s="138" t="s">
        <v>157</v>
      </c>
      <c r="E18" s="132" t="s">
        <v>284</v>
      </c>
      <c r="F18" t="str">
        <f ca="1">IFERROR(VLOOKUP(ROW(Фильтр[[#This Row],[Фильтр]])-ROW(Фильтр[[#Headers],[Фильтр]]),Сооруж[],2,FALSE),"")</f>
        <v/>
      </c>
    </row>
    <row r="19" spans="3:6" ht="30" customHeight="1" x14ac:dyDescent="0.25">
      <c r="C19" s="139">
        <f ca="1">IF(ISNUMBER(SEARCH($J$4,Сооруж[[#This Row],[Сооружения]])),MAX(Сооруж[[#Headers],[Столбец1]]:OFFSET(Сооруж[[#This Row],[Столбец1]],-1,0))+1,0)</f>
        <v>0</v>
      </c>
      <c r="D19" s="139" t="s">
        <v>161</v>
      </c>
      <c r="E19" s="132" t="s">
        <v>284</v>
      </c>
      <c r="F19" t="str">
        <f ca="1">IFERROR(VLOOKUP(ROW(Фильтр[[#This Row],[Фильтр]])-ROW(Фильтр[[#Headers],[Фильтр]]),Сооруж[],2,FALSE),"")</f>
        <v/>
      </c>
    </row>
    <row r="20" spans="3:6" ht="30" customHeight="1" x14ac:dyDescent="0.25">
      <c r="C20" s="138">
        <f ca="1">IF(ISNUMBER(SEARCH($J$4,Сооруж[[#This Row],[Сооружения]])),MAX(Сооруж[[#Headers],[Столбец1]]:OFFSET(Сооруж[[#This Row],[Столбец1]],-1,0))+1,0)</f>
        <v>0</v>
      </c>
      <c r="D20" s="138" t="s">
        <v>163</v>
      </c>
      <c r="E20" s="132" t="s">
        <v>284</v>
      </c>
      <c r="F20" t="str">
        <f ca="1">IFERROR(VLOOKUP(ROW(Фильтр[[#This Row],[Фильтр]])-ROW(Фильтр[[#Headers],[Фильтр]]),Сооруж[],2,FALSE),"")</f>
        <v/>
      </c>
    </row>
    <row r="21" spans="3:6" ht="30" customHeight="1" x14ac:dyDescent="0.25">
      <c r="C21" s="138">
        <f ca="1">IF(ISNUMBER(SEARCH($J$4,Сооруж[[#This Row],[Сооружения]])),MAX(Сооруж[[#Headers],[Столбец1]]:OFFSET(Сооруж[[#This Row],[Столбец1]],-1,0))+1,0)</f>
        <v>0</v>
      </c>
      <c r="D21" s="138" t="s">
        <v>164</v>
      </c>
      <c r="E21" s="132" t="s">
        <v>284</v>
      </c>
      <c r="F21" t="str">
        <f ca="1">IFERROR(VLOOKUP(ROW(Фильтр[[#This Row],[Фильтр]])-ROW(Фильтр[[#Headers],[Фильтр]]),Сооруж[],2,FALSE),"")</f>
        <v/>
      </c>
    </row>
    <row r="22" spans="3:6" ht="30" customHeight="1" x14ac:dyDescent="0.25">
      <c r="C22" s="138">
        <f ca="1">IF(ISNUMBER(SEARCH($J$4,Сооруж[[#This Row],[Сооружения]])),MAX(Сооруж[[#Headers],[Столбец1]]:OFFSET(Сооруж[[#This Row],[Столбец1]],-1,0))+1,0)</f>
        <v>0</v>
      </c>
      <c r="D22" s="138" t="s">
        <v>165</v>
      </c>
      <c r="E22" s="132" t="s">
        <v>284</v>
      </c>
      <c r="F22" t="str">
        <f ca="1">IFERROR(VLOOKUP(ROW(Фильтр[[#This Row],[Фильтр]])-ROW(Фильтр[[#Headers],[Фильтр]]),Сооруж[],2,FALSE),"")</f>
        <v/>
      </c>
    </row>
    <row r="23" spans="3:6" ht="30" customHeight="1" x14ac:dyDescent="0.25">
      <c r="C23" s="138">
        <f ca="1">IF(ISNUMBER(SEARCH($J$4,Сооруж[[#This Row],[Сооружения]])),MAX(Сооруж[[#Headers],[Столбец1]]:OFFSET(Сооруж[[#This Row],[Столбец1]],-1,0))+1,0)</f>
        <v>0</v>
      </c>
      <c r="D23" s="138" t="s">
        <v>168</v>
      </c>
      <c r="E23" s="132" t="s">
        <v>284</v>
      </c>
      <c r="F23" t="str">
        <f ca="1">IFERROR(VLOOKUP(ROW(Фильтр[[#This Row],[Фильтр]])-ROW(Фильтр[[#Headers],[Фильтр]]),Сооруж[],2,FALSE),"")</f>
        <v/>
      </c>
    </row>
    <row r="24" spans="3:6" ht="30" customHeight="1" x14ac:dyDescent="0.25">
      <c r="C24" s="135">
        <f ca="1">IF(ISNUMBER(SEARCH($J$4,Сооруж[[#This Row],[Сооружения]])),MAX(Сооруж[[#Headers],[Столбец1]]:OFFSET(Сооруж[[#This Row],[Столбец1]],-1,0))+1,0)</f>
        <v>0</v>
      </c>
      <c r="D24" s="135" t="s">
        <v>146</v>
      </c>
      <c r="E24" s="132" t="s">
        <v>284</v>
      </c>
      <c r="F24" t="str">
        <f ca="1">IFERROR(VLOOKUP(ROW(Фильтр[[#This Row],[Фильтр]])-ROW(Фильтр[[#Headers],[Фильтр]]),Сооруж[],2,FALSE),"")</f>
        <v/>
      </c>
    </row>
    <row r="25" spans="3:6" ht="30" customHeight="1" x14ac:dyDescent="0.25">
      <c r="C25" s="138">
        <f ca="1">IF(ISNUMBER(SEARCH($J$4,Сооруж[[#This Row],[Сооружения]])),MAX(Сооруж[[#Headers],[Столбец1]]:OFFSET(Сооруж[[#This Row],[Столбец1]],-1,0))+1,0)</f>
        <v>0</v>
      </c>
      <c r="D25" s="138" t="s">
        <v>171</v>
      </c>
      <c r="E25" s="132" t="s">
        <v>284</v>
      </c>
      <c r="F25" t="str">
        <f ca="1">IFERROR(VLOOKUP(ROW(Фильтр[[#This Row],[Фильтр]])-ROW(Фильтр[[#Headers],[Фильтр]]),Сооруж[],2,FALSE),"")</f>
        <v/>
      </c>
    </row>
    <row r="26" spans="3:6" ht="30" customHeight="1" x14ac:dyDescent="0.25">
      <c r="C26" s="139">
        <f ca="1">IF(ISNUMBER(SEARCH($J$4,Сооруж[[#This Row],[Сооружения]])),MAX(Сооруж[[#Headers],[Столбец1]]:OFFSET(Сооруж[[#This Row],[Столбец1]],-1,0))+1,0)</f>
        <v>0</v>
      </c>
      <c r="D26" s="139" t="s">
        <v>172</v>
      </c>
      <c r="E26" s="132" t="s">
        <v>284</v>
      </c>
      <c r="F26" t="str">
        <f ca="1">IFERROR(VLOOKUP(ROW(Фильтр[[#This Row],[Фильтр]])-ROW(Фильтр[[#Headers],[Фильтр]]),Сооруж[],2,FALSE),"")</f>
        <v/>
      </c>
    </row>
    <row r="27" spans="3:6" ht="30" customHeight="1" x14ac:dyDescent="0.25">
      <c r="C27" s="138">
        <f ca="1">IF(ISNUMBER(SEARCH($J$4,Сооруж[[#This Row],[Сооружения]])),MAX(Сооруж[[#Headers],[Столбец1]]:OFFSET(Сооруж[[#This Row],[Столбец1]],-1,0))+1,0)</f>
        <v>0</v>
      </c>
      <c r="D27" s="138" t="s">
        <v>173</v>
      </c>
      <c r="E27" s="132" t="s">
        <v>284</v>
      </c>
      <c r="F27" t="str">
        <f ca="1">IFERROR(VLOOKUP(ROW(Фильтр[[#This Row],[Фильтр]])-ROW(Фильтр[[#Headers],[Фильтр]]),Сооруж[],2,FALSE),"")</f>
        <v/>
      </c>
    </row>
    <row r="28" spans="3:6" ht="30" customHeight="1" x14ac:dyDescent="0.25">
      <c r="C28" s="132">
        <f ca="1">IF(ISNUMBER(SEARCH($J$4,Сооруж[[#This Row],[Сооружения]])),MAX(Сооруж[[#Headers],[Столбец1]]:OFFSET(Сооруж[[#This Row],[Столбец1]],-1,0))+1,0)</f>
        <v>0</v>
      </c>
      <c r="D28" s="132" t="s">
        <v>175</v>
      </c>
      <c r="E28" s="132" t="s">
        <v>284</v>
      </c>
      <c r="F28" t="str">
        <f ca="1">IFERROR(VLOOKUP(ROW(Фильтр[[#This Row],[Фильтр]])-ROW(Фильтр[[#Headers],[Фильтр]]),Сооруж[],2,FALSE),"")</f>
        <v/>
      </c>
    </row>
    <row r="29" spans="3:6" ht="30" customHeight="1" x14ac:dyDescent="0.25">
      <c r="C29" s="138">
        <f ca="1">IF(ISNUMBER(SEARCH($J$4,Сооруж[[#This Row],[Сооружения]])),MAX(Сооруж[[#Headers],[Столбец1]]:OFFSET(Сооруж[[#This Row],[Столбец1]],-1,0))+1,0)</f>
        <v>0</v>
      </c>
      <c r="D29" s="138" t="s">
        <v>176</v>
      </c>
      <c r="E29" s="132" t="s">
        <v>284</v>
      </c>
      <c r="F29" t="str">
        <f ca="1">IFERROR(VLOOKUP(ROW(Фильтр[[#This Row],[Фильтр]])-ROW(Фильтр[[#Headers],[Фильтр]]),Сооруж[],2,FALSE),"")</f>
        <v/>
      </c>
    </row>
    <row r="30" spans="3:6" ht="30" customHeight="1" x14ac:dyDescent="0.25">
      <c r="C30" s="138">
        <f ca="1">IF(ISNUMBER(SEARCH($J$4,Сооруж[[#This Row],[Сооружения]])),MAX(Сооруж[[#Headers],[Столбец1]]:OFFSET(Сооруж[[#This Row],[Столбец1]],-1,0))+1,0)</f>
        <v>0</v>
      </c>
      <c r="D30" s="138" t="s">
        <v>177</v>
      </c>
      <c r="E30" s="132" t="s">
        <v>284</v>
      </c>
      <c r="F30" t="str">
        <f ca="1">IFERROR(VLOOKUP(ROW(Фильтр[[#This Row],[Фильтр]])-ROW(Фильтр[[#Headers],[Фильтр]]),Сооруж[],2,FALSE),"")</f>
        <v/>
      </c>
    </row>
    <row r="31" spans="3:6" ht="30" customHeight="1" x14ac:dyDescent="0.25">
      <c r="C31" s="138">
        <f ca="1">IF(ISNUMBER(SEARCH($J$4,Сооруж[[#This Row],[Сооружения]])),MAX(Сооруж[[#Headers],[Столбец1]]:OFFSET(Сооруж[[#This Row],[Столбец1]],-1,0))+1,0)</f>
        <v>0</v>
      </c>
      <c r="D31" s="138" t="s">
        <v>178</v>
      </c>
      <c r="E31" s="132" t="s">
        <v>284</v>
      </c>
      <c r="F31" t="str">
        <f ca="1">IFERROR(VLOOKUP(ROW(Фильтр[[#This Row],[Фильтр]])-ROW(Фильтр[[#Headers],[Фильтр]]),Сооруж[],2,FALSE),"")</f>
        <v/>
      </c>
    </row>
    <row r="32" spans="3:6" ht="30" customHeight="1" x14ac:dyDescent="0.25">
      <c r="C32" s="138">
        <f ca="1">IF(ISNUMBER(SEARCH($J$4,Сооруж[[#This Row],[Сооружения]])),MAX(Сооруж[[#Headers],[Столбец1]]:OFFSET(Сооруж[[#This Row],[Столбец1]],-1,0))+1,0)</f>
        <v>0</v>
      </c>
      <c r="D32" s="138" t="s">
        <v>179</v>
      </c>
      <c r="E32" s="132" t="s">
        <v>284</v>
      </c>
      <c r="F32" t="str">
        <f ca="1">IFERROR(VLOOKUP(ROW(Фильтр[[#This Row],[Фильтр]])-ROW(Фильтр[[#Headers],[Фильтр]]),Сооруж[],2,FALSE),"")</f>
        <v/>
      </c>
    </row>
    <row r="33" spans="3:6" ht="30" customHeight="1" x14ac:dyDescent="0.25">
      <c r="C33" s="138">
        <f ca="1">IF(ISNUMBER(SEARCH($J$4,Сооруж[[#This Row],[Сооружения]])),MAX(Сооруж[[#Headers],[Столбец1]]:OFFSET(Сооруж[[#This Row],[Столбец1]],-1,0))+1,0)</f>
        <v>0</v>
      </c>
      <c r="D33" s="138" t="s">
        <v>180</v>
      </c>
      <c r="E33" s="132" t="s">
        <v>284</v>
      </c>
      <c r="F33" t="str">
        <f ca="1">IFERROR(VLOOKUP(ROW(Фильтр[[#This Row],[Фильтр]])-ROW(Фильтр[[#Headers],[Фильтр]]),Сооруж[],2,FALSE),"")</f>
        <v/>
      </c>
    </row>
    <row r="34" spans="3:6" ht="30" customHeight="1" x14ac:dyDescent="0.25">
      <c r="C34" s="138">
        <f ca="1">IF(ISNUMBER(SEARCH($J$4,Сооруж[[#This Row],[Сооружения]])),MAX(Сооруж[[#Headers],[Столбец1]]:OFFSET(Сооруж[[#This Row],[Столбец1]],-1,0))+1,0)</f>
        <v>0</v>
      </c>
      <c r="D34" s="138" t="s">
        <v>181</v>
      </c>
      <c r="E34" s="132" t="s">
        <v>284</v>
      </c>
      <c r="F34" t="str">
        <f ca="1">IFERROR(VLOOKUP(ROW(Фильтр[[#This Row],[Фильтр]])-ROW(Фильтр[[#Headers],[Фильтр]]),Сооруж[],2,FALSE),"")</f>
        <v/>
      </c>
    </row>
    <row r="35" spans="3:6" ht="30" customHeight="1" x14ac:dyDescent="0.25">
      <c r="C35" s="138">
        <f ca="1">IF(ISNUMBER(SEARCH($J$4,Сооруж[[#This Row],[Сооружения]])),MAX(Сооруж[[#Headers],[Столбец1]]:OFFSET(Сооруж[[#This Row],[Столбец1]],-1,0))+1,0)</f>
        <v>0</v>
      </c>
      <c r="D35" s="138" t="s">
        <v>182</v>
      </c>
      <c r="E35" s="132" t="s">
        <v>284</v>
      </c>
      <c r="F35" t="str">
        <f ca="1">IFERROR(VLOOKUP(ROW(Фильтр[[#This Row],[Фильтр]])-ROW(Фильтр[[#Headers],[Фильтр]]),Сооруж[],2,FALSE),"")</f>
        <v/>
      </c>
    </row>
    <row r="36" spans="3:6" ht="30" customHeight="1" x14ac:dyDescent="0.25">
      <c r="C36" s="138">
        <f ca="1">IF(ISNUMBER(SEARCH($J$4,Сооруж[[#This Row],[Сооружения]])),MAX(Сооруж[[#Headers],[Столбец1]]:OFFSET(Сооруж[[#This Row],[Столбец1]],-1,0))+1,0)</f>
        <v>0</v>
      </c>
      <c r="D36" s="138" t="s">
        <v>183</v>
      </c>
      <c r="E36" s="132" t="s">
        <v>284</v>
      </c>
      <c r="F36" t="str">
        <f ca="1">IFERROR(VLOOKUP(ROW(Фильтр[[#This Row],[Фильтр]])-ROW(Фильтр[[#Headers],[Фильтр]]),Сооруж[],2,FALSE),"")</f>
        <v/>
      </c>
    </row>
    <row r="37" spans="3:6" ht="30" customHeight="1" x14ac:dyDescent="0.25">
      <c r="C37" s="138">
        <f ca="1">IF(ISNUMBER(SEARCH($J$4,Сооруж[[#This Row],[Сооружения]])),MAX(Сооруж[[#Headers],[Столбец1]]:OFFSET(Сооруж[[#This Row],[Столбец1]],-1,0))+1,0)</f>
        <v>0</v>
      </c>
      <c r="D37" s="138" t="s">
        <v>185</v>
      </c>
      <c r="E37" s="132" t="s">
        <v>284</v>
      </c>
      <c r="F37" t="str">
        <f ca="1">IFERROR(VLOOKUP(ROW(Фильтр[[#This Row],[Фильтр]])-ROW(Фильтр[[#Headers],[Фильтр]]),Сооруж[],2,FALSE),"")</f>
        <v/>
      </c>
    </row>
    <row r="38" spans="3:6" ht="30" customHeight="1" x14ac:dyDescent="0.25">
      <c r="C38" s="138">
        <f ca="1">IF(ISNUMBER(SEARCH($J$4,Сооруж[[#This Row],[Сооружения]])),MAX(Сооруж[[#Headers],[Столбец1]]:OFFSET(Сооруж[[#This Row],[Столбец1]],-1,0))+1,0)</f>
        <v>0</v>
      </c>
      <c r="D38" s="138" t="s">
        <v>188</v>
      </c>
      <c r="E38" s="132" t="s">
        <v>284</v>
      </c>
      <c r="F38" t="str">
        <f ca="1">IFERROR(VLOOKUP(ROW(Фильтр[[#This Row],[Фильтр]])-ROW(Фильтр[[#Headers],[Фильтр]]),Сооруж[],2,FALSE),"")</f>
        <v/>
      </c>
    </row>
    <row r="39" spans="3:6" ht="30" customHeight="1" x14ac:dyDescent="0.25">
      <c r="C39" s="138">
        <f ca="1">IF(ISNUMBER(SEARCH($J$4,Сооруж[[#This Row],[Сооружения]])),MAX(Сооруж[[#Headers],[Столбец1]]:OFFSET(Сооруж[[#This Row],[Столбец1]],-1,0))+1,0)</f>
        <v>0</v>
      </c>
      <c r="D39" s="138" t="s">
        <v>191</v>
      </c>
      <c r="E39" s="132" t="s">
        <v>284</v>
      </c>
      <c r="F39" t="str">
        <f ca="1">IFERROR(VLOOKUP(ROW(Фильтр[[#This Row],[Фильтр]])-ROW(Фильтр[[#Headers],[Фильтр]]),Сооруж[],2,FALSE),"")</f>
        <v/>
      </c>
    </row>
    <row r="40" spans="3:6" ht="30" customHeight="1" x14ac:dyDescent="0.25">
      <c r="C40" s="138">
        <f ca="1">IF(ISNUMBER(SEARCH($J$4,Сооруж[[#This Row],[Сооружения]])),MAX(Сооруж[[#Headers],[Столбец1]]:OFFSET(Сооруж[[#This Row],[Столбец1]],-1,0))+1,0)</f>
        <v>0</v>
      </c>
      <c r="D40" s="138" t="s">
        <v>192</v>
      </c>
      <c r="E40" s="132" t="s">
        <v>284</v>
      </c>
      <c r="F40" t="str">
        <f ca="1">IFERROR(VLOOKUP(ROW(Фильтр[[#This Row],[Фильтр]])-ROW(Фильтр[[#Headers],[Фильтр]]),Сооруж[],2,FALSE),"")</f>
        <v/>
      </c>
    </row>
    <row r="41" spans="3:6" ht="30" customHeight="1" x14ac:dyDescent="0.25">
      <c r="C41" s="135">
        <f ca="1">IF(ISNUMBER(SEARCH($J$4,Сооруж[[#This Row],[Сооружения]])),MAX(Сооруж[[#Headers],[Столбец1]]:OFFSET(Сооруж[[#This Row],[Столбец1]],-1,0))+1,0)</f>
        <v>0</v>
      </c>
      <c r="D41" s="135" t="s">
        <v>195</v>
      </c>
      <c r="E41" s="132" t="s">
        <v>284</v>
      </c>
      <c r="F41" t="str">
        <f ca="1">IFERROR(VLOOKUP(ROW(Фильтр[[#This Row],[Фильтр]])-ROW(Фильтр[[#Headers],[Фильтр]]),Сооруж[],2,FALSE),"")</f>
        <v/>
      </c>
    </row>
    <row r="42" spans="3:6" ht="30" customHeight="1" x14ac:dyDescent="0.25">
      <c r="C42" s="138">
        <f ca="1">IF(ISNUMBER(SEARCH($J$4,Сооруж[[#This Row],[Сооружения]])),MAX(Сооруж[[#Headers],[Столбец1]]:OFFSET(Сооруж[[#This Row],[Столбец1]],-1,0))+1,0)</f>
        <v>0</v>
      </c>
      <c r="D42" s="138" t="s">
        <v>209</v>
      </c>
      <c r="E42" s="132" t="s">
        <v>291</v>
      </c>
      <c r="F42" t="str">
        <f ca="1">IFERROR(VLOOKUP(ROW(Фильтр[[#This Row],[Фильтр]])-ROW(Фильтр[[#Headers],[Фильтр]]),Сооруж[],2,FALSE),"")</f>
        <v/>
      </c>
    </row>
    <row r="43" spans="3:6" ht="30" customHeight="1" x14ac:dyDescent="0.25">
      <c r="C43" s="138">
        <f ca="1">IF(ISNUMBER(SEARCH($J$4,Сооруж[[#This Row],[Сооружения]])),MAX(Сооруж[[#Headers],[Столбец1]]:OFFSET(Сооруж[[#This Row],[Столбец1]],-1,0))+1,0)</f>
        <v>0</v>
      </c>
      <c r="D43" s="138" t="s">
        <v>198</v>
      </c>
      <c r="E43" s="132" t="s">
        <v>291</v>
      </c>
      <c r="F43" t="str">
        <f ca="1">IFERROR(VLOOKUP(ROW(Фильтр[[#This Row],[Фильтр]])-ROW(Фильтр[[#Headers],[Фильтр]]),Сооруж[],2,FALSE),"")</f>
        <v/>
      </c>
    </row>
    <row r="44" spans="3:6" ht="30" customHeight="1" x14ac:dyDescent="0.25">
      <c r="C44" s="138">
        <f ca="1">IF(ISNUMBER(SEARCH($J$4,Сооруж[[#This Row],[Сооружения]])),MAX(Сооруж[[#Headers],[Столбец1]]:OFFSET(Сооруж[[#This Row],[Столбец1]],-1,0))+1,0)</f>
        <v>0</v>
      </c>
      <c r="D44" s="138" t="s">
        <v>199</v>
      </c>
      <c r="E44" s="132" t="s">
        <v>291</v>
      </c>
      <c r="F44" t="str">
        <f ca="1">IFERROR(VLOOKUP(ROW(Фильтр[[#This Row],[Фильтр]])-ROW(Фильтр[[#Headers],[Фильтр]]),Сооруж[],2,FALSE),"")</f>
        <v/>
      </c>
    </row>
    <row r="45" spans="3:6" ht="30" customHeight="1" x14ac:dyDescent="0.25">
      <c r="C45" s="138">
        <f ca="1">IF(ISNUMBER(SEARCH($J$4,Сооруж[[#This Row],[Сооружения]])),MAX(Сооруж[[#Headers],[Столбец1]]:OFFSET(Сооруж[[#This Row],[Столбец1]],-1,0))+1,0)</f>
        <v>0</v>
      </c>
      <c r="D45" s="138" t="s">
        <v>200</v>
      </c>
      <c r="E45" s="132" t="s">
        <v>291</v>
      </c>
      <c r="F45" t="str">
        <f ca="1">IFERROR(VLOOKUP(ROW(Фильтр[[#This Row],[Фильтр]])-ROW(Фильтр[[#Headers],[Фильтр]]),Сооруж[],2,FALSE),"")</f>
        <v/>
      </c>
    </row>
    <row r="46" spans="3:6" ht="30" customHeight="1" x14ac:dyDescent="0.25">
      <c r="C46" s="138">
        <f ca="1">IF(ISNUMBER(SEARCH($J$4,Сооруж[[#This Row],[Сооружения]])),MAX(Сооруж[[#Headers],[Столбец1]]:OFFSET(Сооруж[[#This Row],[Столбец1]],-1,0))+1,0)</f>
        <v>0</v>
      </c>
      <c r="D46" s="138" t="s">
        <v>201</v>
      </c>
      <c r="E46" s="132" t="s">
        <v>291</v>
      </c>
      <c r="F46" t="str">
        <f ca="1">IFERROR(VLOOKUP(ROW(Фильтр[[#This Row],[Фильтр]])-ROW(Фильтр[[#Headers],[Фильтр]]),Сооруж[],2,FALSE),"")</f>
        <v/>
      </c>
    </row>
    <row r="47" spans="3:6" ht="30" customHeight="1" x14ac:dyDescent="0.25">
      <c r="C47" s="138">
        <f ca="1">IF(ISNUMBER(SEARCH($J$4,Сооруж[[#This Row],[Сооружения]])),MAX(Сооруж[[#Headers],[Столбец1]]:OFFSET(Сооруж[[#This Row],[Столбец1]],-1,0))+1,0)</f>
        <v>0</v>
      </c>
      <c r="D47" s="138" t="s">
        <v>215</v>
      </c>
      <c r="E47" s="132" t="s">
        <v>291</v>
      </c>
      <c r="F47" t="str">
        <f ca="1">IFERROR(VLOOKUP(ROW(Фильтр[[#This Row],[Фильтр]])-ROW(Фильтр[[#Headers],[Фильтр]]),Сооруж[],2,FALSE),"")</f>
        <v/>
      </c>
    </row>
    <row r="48" spans="3:6" ht="30" customHeight="1" x14ac:dyDescent="0.25">
      <c r="C48" s="138">
        <f ca="1">IF(ISNUMBER(SEARCH($J$4,Сооруж[[#This Row],[Сооружения]])),MAX(Сооруж[[#Headers],[Столбец1]]:OFFSET(Сооруж[[#This Row],[Столбец1]],-1,0))+1,0)</f>
        <v>0</v>
      </c>
      <c r="D48" s="138" t="s">
        <v>202</v>
      </c>
      <c r="E48" s="132" t="s">
        <v>291</v>
      </c>
      <c r="F48" t="str">
        <f ca="1">IFERROR(VLOOKUP(ROW(Фильтр[[#This Row],[Фильтр]])-ROW(Фильтр[[#Headers],[Фильтр]]),Сооруж[],2,FALSE),"")</f>
        <v/>
      </c>
    </row>
    <row r="49" spans="3:6" ht="30" customHeight="1" x14ac:dyDescent="0.25">
      <c r="C49" s="138">
        <f ca="1">IF(ISNUMBER(SEARCH($J$4,Сооруж[[#This Row],[Сооружения]])),MAX(Сооруж[[#Headers],[Столбец1]]:OFFSET(Сооруж[[#This Row],[Столбец1]],-1,0))+1,0)</f>
        <v>0</v>
      </c>
      <c r="D49" s="138" t="s">
        <v>218</v>
      </c>
      <c r="E49" s="132" t="s">
        <v>291</v>
      </c>
      <c r="F49" t="str">
        <f ca="1">IFERROR(VLOOKUP(ROW(Фильтр[[#This Row],[Фильтр]])-ROW(Фильтр[[#Headers],[Фильтр]]),Сооруж[],2,FALSE),"")</f>
        <v/>
      </c>
    </row>
    <row r="50" spans="3:6" ht="30" customHeight="1" x14ac:dyDescent="0.25">
      <c r="C50" s="138">
        <f ca="1">IF(ISNUMBER(SEARCH($J$4,Сооруж[[#This Row],[Сооружения]])),MAX(Сооруж[[#Headers],[Столбец1]]:OFFSET(Сооруж[[#This Row],[Столбец1]],-1,0))+1,0)</f>
        <v>0</v>
      </c>
      <c r="D50" s="138" t="s">
        <v>203</v>
      </c>
      <c r="E50" s="132" t="s">
        <v>291</v>
      </c>
      <c r="F50" t="str">
        <f ca="1">IFERROR(VLOOKUP(ROW(Фильтр[[#This Row],[Фильтр]])-ROW(Фильтр[[#Headers],[Фильтр]]),Сооруж[],2,FALSE),"")</f>
        <v/>
      </c>
    </row>
    <row r="51" spans="3:6" ht="30" customHeight="1" x14ac:dyDescent="0.25">
      <c r="C51" s="138">
        <f ca="1">IF(ISNUMBER(SEARCH($J$4,Сооруж[[#This Row],[Сооружения]])),MAX(Сооруж[[#Headers],[Столбец1]]:OFFSET(Сооруж[[#This Row],[Столбец1]],-1,0))+1,0)</f>
        <v>0</v>
      </c>
      <c r="D51" s="138" t="s">
        <v>204</v>
      </c>
      <c r="E51" s="132" t="s">
        <v>291</v>
      </c>
      <c r="F51" t="str">
        <f ca="1">IFERROR(VLOOKUP(ROW(Фильтр[[#This Row],[Фильтр]])-ROW(Фильтр[[#Headers],[Фильтр]]),Сооруж[],2,FALSE),"")</f>
        <v/>
      </c>
    </row>
    <row r="52" spans="3:6" ht="30" customHeight="1" x14ac:dyDescent="0.25">
      <c r="C52" s="138">
        <f ca="1">IF(ISNUMBER(SEARCH($J$4,Сооруж[[#This Row],[Сооружения]])),MAX(Сооруж[[#Headers],[Столбец1]]:OFFSET(Сооруж[[#This Row],[Столбец1]],-1,0))+1,0)</f>
        <v>0</v>
      </c>
      <c r="D52" s="138" t="s">
        <v>221</v>
      </c>
      <c r="E52" s="132" t="s">
        <v>291</v>
      </c>
      <c r="F52" t="str">
        <f ca="1">IFERROR(VLOOKUP(ROW(Фильтр[[#This Row],[Фильтр]])-ROW(Фильтр[[#Headers],[Фильтр]]),Сооруж[],2,FALSE),"")</f>
        <v/>
      </c>
    </row>
    <row r="53" spans="3:6" ht="30" customHeight="1" x14ac:dyDescent="0.25">
      <c r="C53" s="138">
        <f ca="1">IF(ISNUMBER(SEARCH($J$4,Сооруж[[#This Row],[Сооружения]])),MAX(Сооруж[[#Headers],[Столбец1]]:OFFSET(Сооруж[[#This Row],[Столбец1]],-1,0))+1,0)</f>
        <v>0</v>
      </c>
      <c r="D53" s="138" t="s">
        <v>205</v>
      </c>
      <c r="E53" s="132" t="s">
        <v>291</v>
      </c>
      <c r="F53" t="str">
        <f ca="1">IFERROR(VLOOKUP(ROW(Фильтр[[#This Row],[Фильтр]])-ROW(Фильтр[[#Headers],[Фильтр]]),Сооруж[],2,FALSE),"")</f>
        <v/>
      </c>
    </row>
    <row r="54" spans="3:6" ht="30" customHeight="1" x14ac:dyDescent="0.25">
      <c r="C54" s="138">
        <f ca="1">IF(ISNUMBER(SEARCH($J$4,Сооруж[[#This Row],[Сооружения]])),MAX(Сооруж[[#Headers],[Столбец1]]:OFFSET(Сооруж[[#This Row],[Столбец1]],-1,0))+1,0)</f>
        <v>0</v>
      </c>
      <c r="D54" s="138" t="s">
        <v>206</v>
      </c>
      <c r="E54" s="132" t="s">
        <v>291</v>
      </c>
      <c r="F54" t="str">
        <f ca="1">IFERROR(VLOOKUP(ROW(Фильтр[[#This Row],[Фильтр]])-ROW(Фильтр[[#Headers],[Фильтр]]),Сооруж[],2,FALSE),"")</f>
        <v/>
      </c>
    </row>
    <row r="55" spans="3:6" ht="30" customHeight="1" x14ac:dyDescent="0.25">
      <c r="C55" s="138">
        <f ca="1">IF(ISNUMBER(SEARCH($J$4,Сооруж[[#This Row],[Сооружения]])),MAX(Сооруж[[#Headers],[Столбец1]]:OFFSET(Сооруж[[#This Row],[Столбец1]],-1,0))+1,0)</f>
        <v>0</v>
      </c>
      <c r="D55" s="138" t="s">
        <v>207</v>
      </c>
      <c r="E55" s="132" t="s">
        <v>291</v>
      </c>
      <c r="F55" t="str">
        <f ca="1">IFERROR(VLOOKUP(ROW(Фильтр[[#This Row],[Фильтр]])-ROW(Фильтр[[#Headers],[Фильтр]]),Сооруж[],2,FALSE),"")</f>
        <v/>
      </c>
    </row>
    <row r="56" spans="3:6" ht="30" customHeight="1" x14ac:dyDescent="0.25">
      <c r="C56" s="179">
        <f ca="1">IF(ISNUMBER(SEARCH($J$4,Сооруж[[#This Row],[Сооружения]])),MAX(Сооруж[[#Headers],[Столбец1]]:OFFSET(Сооруж[[#This Row],[Столбец1]],-1,0))+1,0)</f>
        <v>0</v>
      </c>
      <c r="D56" s="138" t="s">
        <v>395</v>
      </c>
      <c r="E56" s="132" t="s">
        <v>291</v>
      </c>
      <c r="F56" s="170" t="str">
        <f ca="1">IFERROR(VLOOKUP(ROW(Фильтр[[#This Row],[Фильтр]])-ROW(Фильтр[[#Headers],[Фильтр]]),Сооруж[],2,FALSE),"")</f>
        <v/>
      </c>
    </row>
    <row r="57" spans="3:6" ht="30" customHeight="1" x14ac:dyDescent="0.25">
      <c r="C57" s="179">
        <f ca="1">IF(ISNUMBER(SEARCH($J$4,Сооруж[[#This Row],[Сооружения]])),MAX(Сооруж[[#Headers],[Столбец1]]:OFFSET(Сооруж[[#This Row],[Столбец1]],-1,0))+1,0)</f>
        <v>0</v>
      </c>
      <c r="D57" s="138" t="s">
        <v>396</v>
      </c>
      <c r="E57" s="132" t="s">
        <v>291</v>
      </c>
      <c r="F57" s="170" t="str">
        <f ca="1">IFERROR(VLOOKUP(ROW(Фильтр[[#This Row],[Фильтр]])-ROW(Фильтр[[#Headers],[Фильтр]]),Сооруж[],2,FALSE),"")</f>
        <v/>
      </c>
    </row>
    <row r="58" spans="3:6" ht="30" customHeight="1" x14ac:dyDescent="0.25">
      <c r="C58" s="138">
        <f ca="1">IF(ISNUMBER(SEARCH($J$4,Сооруж[[#This Row],[Сооружения]])),MAX(Сооруж[[#Headers],[Столбец1]]:OFFSET(Сооруж[[#This Row],[Столбец1]],-1,0))+1,0)</f>
        <v>0</v>
      </c>
      <c r="D58" s="138" t="s">
        <v>208</v>
      </c>
      <c r="E58" s="132" t="s">
        <v>291</v>
      </c>
      <c r="F58" t="str">
        <f ca="1">IFERROR(VLOOKUP(ROW(Фильтр[[#This Row],[Фильтр]])-ROW(Фильтр[[#Headers],[Фильтр]]),Сооруж[],2,FALSE),"")</f>
        <v/>
      </c>
    </row>
    <row r="59" spans="3:6" ht="30" customHeight="1" x14ac:dyDescent="0.25">
      <c r="C59" s="139">
        <f ca="1">IF(ISNUMBER(SEARCH($J$4,Сооруж[[#This Row],[Сооружения]])),MAX(Сооруж[[#Headers],[Столбец1]]:OFFSET(Сооруж[[#This Row],[Столбец1]],-1,0))+1,0)</f>
        <v>0</v>
      </c>
      <c r="D59" s="146" t="s">
        <v>230</v>
      </c>
      <c r="E59" s="132" t="s">
        <v>285</v>
      </c>
      <c r="F59" t="str">
        <f ca="1">IFERROR(VLOOKUP(ROW(Фильтр[[#This Row],[Фильтр]])-ROW(Фильтр[[#Headers],[Фильтр]]),Сооруж[],2,FALSE),"")</f>
        <v/>
      </c>
    </row>
    <row r="60" spans="3:6" ht="30" customHeight="1" x14ac:dyDescent="0.25">
      <c r="C60" s="139">
        <f ca="1">IF(ISNUMBER(SEARCH($J$4,Сооруж[[#This Row],[Сооружения]])),MAX(Сооруж[[#Headers],[Столбец1]]:OFFSET(Сооруж[[#This Row],[Столбец1]],-1,0))+1,0)</f>
        <v>0</v>
      </c>
      <c r="D60" s="146" t="s">
        <v>231</v>
      </c>
      <c r="E60" s="132" t="s">
        <v>285</v>
      </c>
      <c r="F60" t="str">
        <f ca="1">IFERROR(VLOOKUP(ROW(Фильтр[[#This Row],[Фильтр]])-ROW(Фильтр[[#Headers],[Фильтр]]),Сооруж[],2,FALSE),"")</f>
        <v/>
      </c>
    </row>
    <row r="61" spans="3:6" ht="30" customHeight="1" x14ac:dyDescent="0.25">
      <c r="C61" s="139">
        <f ca="1">IF(ISNUMBER(SEARCH($J$4,Сооруж[[#This Row],[Сооружения]])),MAX(Сооруж[[#Headers],[Столбец1]]:OFFSET(Сооруж[[#This Row],[Столбец1]],-1,0))+1,0)</f>
        <v>0</v>
      </c>
      <c r="D61" s="139" t="s">
        <v>233</v>
      </c>
      <c r="E61" s="132" t="s">
        <v>292</v>
      </c>
      <c r="F61" t="str">
        <f ca="1">IFERROR(VLOOKUP(ROW(Фильтр[[#This Row],[Фильтр]])-ROW(Фильтр[[#Headers],[Фильтр]]),Сооруж[],2,FALSE),"")</f>
        <v/>
      </c>
    </row>
    <row r="62" spans="3:6" ht="30" customHeight="1" x14ac:dyDescent="0.25">
      <c r="C62" s="139">
        <f ca="1">IF(ISNUMBER(SEARCH($J$4,Сооруж[[#This Row],[Сооружения]])),MAX(Сооруж[[#Headers],[Столбец1]]:OFFSET(Сооруж[[#This Row],[Столбец1]],-1,0))+1,0)</f>
        <v>0</v>
      </c>
      <c r="D62" s="139" t="s">
        <v>234</v>
      </c>
      <c r="E62" s="132" t="s">
        <v>292</v>
      </c>
      <c r="F62" t="str">
        <f ca="1">IFERROR(VLOOKUP(ROW(Фильтр[[#This Row],[Фильтр]])-ROW(Фильтр[[#Headers],[Фильтр]]),Сооруж[],2,FALSE),"")</f>
        <v/>
      </c>
    </row>
    <row r="63" spans="3:6" ht="30" customHeight="1" x14ac:dyDescent="0.25">
      <c r="C63" s="139">
        <f ca="1">IF(ISNUMBER(SEARCH($J$4,Сооруж[[#This Row],[Сооружения]])),MAX(Сооруж[[#Headers],[Столбец1]]:OFFSET(Сооруж[[#This Row],[Столбец1]],-1,0))+1,0)</f>
        <v>0</v>
      </c>
      <c r="D63" s="139" t="s">
        <v>235</v>
      </c>
      <c r="E63" s="132" t="s">
        <v>292</v>
      </c>
      <c r="F63" t="str">
        <f ca="1">IFERROR(VLOOKUP(ROW(Фильтр[[#This Row],[Фильтр]])-ROW(Фильтр[[#Headers],[Фильтр]]),Сооруж[],2,FALSE),"")</f>
        <v/>
      </c>
    </row>
    <row r="64" spans="3:6" ht="30" customHeight="1" x14ac:dyDescent="0.25">
      <c r="C64" s="132">
        <f ca="1">IF(ISNUMBER(SEARCH($J$4,Сооруж[[#This Row],[Сооружения]])),MAX(Сооруж[[#Headers],[Столбец1]]:OFFSET(Сооруж[[#This Row],[Столбец1]],-1,0))+1,0)</f>
        <v>0</v>
      </c>
      <c r="D64" s="132" t="s">
        <v>301</v>
      </c>
      <c r="E64" s="132" t="s">
        <v>286</v>
      </c>
      <c r="F64" t="str">
        <f ca="1">IFERROR(VLOOKUP(ROW(Фильтр[[#This Row],[Фильтр]])-ROW(Фильтр[[#Headers],[Фильтр]]),Сооруж[],2,FALSE),"")</f>
        <v/>
      </c>
    </row>
    <row r="65" spans="3:6" ht="30" customHeight="1" x14ac:dyDescent="0.25">
      <c r="C65" s="132">
        <f ca="1">IF(ISNUMBER(SEARCH($J$4,Сооруж[[#This Row],[Сооружения]])),MAX(Сооруж[[#Headers],[Столбец1]]:OFFSET(Сооруж[[#This Row],[Столбец1]],-1,0))+1,0)</f>
        <v>0</v>
      </c>
      <c r="D65" s="132" t="s">
        <v>385</v>
      </c>
      <c r="E65" s="132" t="s">
        <v>286</v>
      </c>
      <c r="F65" t="str">
        <f ca="1">IFERROR(VLOOKUP(ROW(Фильтр[[#This Row],[Фильтр]])-ROW(Фильтр[[#Headers],[Фильтр]]),Сооруж[],2,FALSE),"")</f>
        <v/>
      </c>
    </row>
    <row r="66" spans="3:6" ht="30" customHeight="1" x14ac:dyDescent="0.25">
      <c r="C66" s="135">
        <f ca="1">IF(ISNUMBER(SEARCH($J$4,Сооруж[[#This Row],[Сооружения]])),MAX(Сооруж[[#Headers],[Столбец1]]:OFFSET(Сооруж[[#This Row],[Столбец1]],-1,0))+1,0)</f>
        <v>0</v>
      </c>
      <c r="D66" s="135" t="s">
        <v>237</v>
      </c>
      <c r="E66" s="132" t="s">
        <v>286</v>
      </c>
      <c r="F66" t="str">
        <f ca="1">IFERROR(VLOOKUP(ROW(Фильтр[[#This Row],[Фильтр]])-ROW(Фильтр[[#Headers],[Фильтр]]),Сооруж[],2,FALSE),"")</f>
        <v/>
      </c>
    </row>
    <row r="67" spans="3:6" ht="30" customHeight="1" x14ac:dyDescent="0.25">
      <c r="C67" s="132">
        <f ca="1">IF(ISNUMBER(SEARCH($J$4,Сооруж[[#This Row],[Сооружения]])),MAX(Сооруж[[#Headers],[Столбец1]]:OFFSET(Сооруж[[#This Row],[Столбец1]],-1,0))+1,0)</f>
        <v>0</v>
      </c>
      <c r="D67" s="132" t="s">
        <v>238</v>
      </c>
      <c r="E67" s="132" t="s">
        <v>286</v>
      </c>
      <c r="F67" t="str">
        <f ca="1">IFERROR(VLOOKUP(ROW(Фильтр[[#This Row],[Фильтр]])-ROW(Фильтр[[#Headers],[Фильтр]]),Сооруж[],2,FALSE),"")</f>
        <v/>
      </c>
    </row>
    <row r="68" spans="3:6" ht="30" customHeight="1" x14ac:dyDescent="0.25">
      <c r="C68" s="141">
        <f ca="1">IF(ISNUMBER(SEARCH($J$4,Сооруж[[#This Row],[Сооружения]])),MAX(Сооруж[[#Headers],[Столбец1]]:OFFSET(Сооруж[[#This Row],[Столбец1]],-1,0))+1,0)</f>
        <v>0</v>
      </c>
      <c r="D68" s="141" t="s">
        <v>390</v>
      </c>
      <c r="E68" s="148" t="s">
        <v>287</v>
      </c>
      <c r="F68" t="str">
        <f ca="1">IFERROR(VLOOKUP(ROW(Фильтр[[#This Row],[Фильтр]])-ROW(Фильтр[[#Headers],[Фильтр]]),Сооруж[],2,FALSE),"")</f>
        <v/>
      </c>
    </row>
    <row r="69" spans="3:6" ht="30" customHeight="1" x14ac:dyDescent="0.25">
      <c r="C69" s="141">
        <f ca="1">IF(ISNUMBER(SEARCH($J$4,Сооруж[[#This Row],[Сооружения]])),MAX(Сооруж[[#Headers],[Столбец1]]:OFFSET(Сооруж[[#This Row],[Столбец1]],-1,0))+1,0)</f>
        <v>0</v>
      </c>
      <c r="D69" s="141" t="s">
        <v>387</v>
      </c>
      <c r="E69" s="148" t="s">
        <v>287</v>
      </c>
      <c r="F69" t="str">
        <f ca="1">IFERROR(VLOOKUP(ROW(Фильтр[[#This Row],[Фильтр]])-ROW(Фильтр[[#Headers],[Фильтр]]),Сооруж[],2,FALSE),"")</f>
        <v/>
      </c>
    </row>
    <row r="70" spans="3:6" ht="30" customHeight="1" x14ac:dyDescent="0.25">
      <c r="C70" s="141">
        <f ca="1">IF(ISNUMBER(SEARCH($J$4,Сооруж[[#This Row],[Сооружения]])),MAX(Сооруж[[#Headers],[Столбец1]]:OFFSET(Сооруж[[#This Row],[Столбец1]],-1,0))+1,0)</f>
        <v>0</v>
      </c>
      <c r="D70" s="141" t="s">
        <v>388</v>
      </c>
      <c r="E70" s="148" t="s">
        <v>287</v>
      </c>
      <c r="F70" t="str">
        <f ca="1">IFERROR(VLOOKUP(ROW(Фильтр[[#This Row],[Фильтр]])-ROW(Фильтр[[#Headers],[Фильтр]]),Сооруж[],2,FALSE),"")</f>
        <v/>
      </c>
    </row>
    <row r="71" spans="3:6" ht="30" customHeight="1" x14ac:dyDescent="0.25">
      <c r="C71" s="141">
        <f ca="1">IF(ISNUMBER(SEARCH($J$4,Сооруж[[#This Row],[Сооружения]])),MAX(Сооруж[[#Headers],[Столбец1]]:OFFSET(Сооруж[[#This Row],[Столбец1]],-1,0))+1,0)</f>
        <v>0</v>
      </c>
      <c r="D71" s="141" t="s">
        <v>241</v>
      </c>
      <c r="E71" s="148" t="s">
        <v>287</v>
      </c>
      <c r="F71" t="str">
        <f ca="1">IFERROR(VLOOKUP(ROW(Фильтр[[#This Row],[Фильтр]])-ROW(Фильтр[[#Headers],[Фильтр]]),Сооруж[],2,FALSE),"")</f>
        <v/>
      </c>
    </row>
    <row r="72" spans="3:6" ht="30" customHeight="1" x14ac:dyDescent="0.25">
      <c r="C72" s="141">
        <f ca="1">IF(ISNUMBER(SEARCH($J$4,Сооруж[[#This Row],[Сооружения]])),MAX(Сооруж[[#Headers],[Столбец1]]:OFFSET(Сооруж[[#This Row],[Столбец1]],-1,0))+1,0)</f>
        <v>0</v>
      </c>
      <c r="D72" s="141" t="s">
        <v>239</v>
      </c>
      <c r="E72" s="148" t="s">
        <v>287</v>
      </c>
      <c r="F72" t="str">
        <f ca="1">IFERROR(VLOOKUP(ROW(Фильтр[[#This Row],[Фильтр]])-ROW(Фильтр[[#Headers],[Фильтр]]),Сооруж[],2,FALSE),"")</f>
        <v/>
      </c>
    </row>
    <row r="73" spans="3:6" ht="30" customHeight="1" x14ac:dyDescent="0.25">
      <c r="C73" s="141">
        <f ca="1">IF(ISNUMBER(SEARCH($J$4,Сооруж[[#This Row],[Сооружения]])),MAX(Сооруж[[#Headers],[Столбец1]]:OFFSET(Сооруж[[#This Row],[Столбец1]],-1,0))+1,0)</f>
        <v>0</v>
      </c>
      <c r="D73" s="141" t="s">
        <v>233</v>
      </c>
      <c r="E73" s="148" t="s">
        <v>287</v>
      </c>
      <c r="F73" t="str">
        <f ca="1">IFERROR(VLOOKUP(ROW(Фильтр[[#This Row],[Фильтр]])-ROW(Фильтр[[#Headers],[Фильтр]]),Сооруж[],2,FALSE),"")</f>
        <v/>
      </c>
    </row>
    <row r="74" spans="3:6" ht="30" customHeight="1" x14ac:dyDescent="0.25">
      <c r="C74" s="141">
        <f ca="1">IF(ISNUMBER(SEARCH($J$4,Сооруж[[#This Row],[Сооружения]])),MAX(Сооруж[[#Headers],[Столбец1]]:OFFSET(Сооруж[[#This Row],[Столбец1]],-1,0))+1,0)</f>
        <v>0</v>
      </c>
      <c r="D74" s="141" t="s">
        <v>247</v>
      </c>
      <c r="E74" s="134" t="s">
        <v>288</v>
      </c>
      <c r="F74" t="str">
        <f ca="1">IFERROR(VLOOKUP(ROW(Фильтр[[#This Row],[Фильтр]])-ROW(Фильтр[[#Headers],[Фильтр]]),Сооруж[],2,FALSE),"")</f>
        <v/>
      </c>
    </row>
    <row r="75" spans="3:6" ht="30" customHeight="1" x14ac:dyDescent="0.25">
      <c r="C75" s="141">
        <f ca="1">IF(ISNUMBER(SEARCH($J$4,Сооруж[[#This Row],[Сооружения]])),MAX(Сооруж[[#Headers],[Столбец1]]:OFFSET(Сооруж[[#This Row],[Столбец1]],-1,0))+1,0)</f>
        <v>0</v>
      </c>
      <c r="D75" s="141" t="s">
        <v>248</v>
      </c>
      <c r="E75" s="134" t="s">
        <v>288</v>
      </c>
      <c r="F75" t="str">
        <f ca="1">IFERROR(VLOOKUP(ROW(Фильтр[[#This Row],[Фильтр]])-ROW(Фильтр[[#Headers],[Фильтр]]),Сооруж[],2,FALSE),"")</f>
        <v/>
      </c>
    </row>
    <row r="76" spans="3:6" ht="30" customHeight="1" x14ac:dyDescent="0.25">
      <c r="C76" s="141">
        <f ca="1">IF(ISNUMBER(SEARCH($J$4,Сооруж[[#This Row],[Сооружения]])),MAX(Сооруж[[#Headers],[Столбец1]]:OFFSET(Сооруж[[#This Row],[Столбец1]],-1,0))+1,0)</f>
        <v>0</v>
      </c>
      <c r="D76" s="141" t="s">
        <v>249</v>
      </c>
      <c r="E76" s="134" t="s">
        <v>288</v>
      </c>
      <c r="F76" t="str">
        <f ca="1">IFERROR(VLOOKUP(ROW(Фильтр[[#This Row],[Фильтр]])-ROW(Фильтр[[#Headers],[Фильтр]]),Сооруж[],2,FALSE),"")</f>
        <v/>
      </c>
    </row>
    <row r="77" spans="3:6" ht="30" customHeight="1" x14ac:dyDescent="0.25">
      <c r="C77" s="141">
        <f ca="1">IF(ISNUMBER(SEARCH($J$4,Сооруж[[#This Row],[Сооружения]])),MAX(Сооруж[[#Headers],[Столбец1]]:OFFSET(Сооруж[[#This Row],[Столбец1]],-1,0))+1,0)</f>
        <v>0</v>
      </c>
      <c r="D77" s="141" t="s">
        <v>250</v>
      </c>
      <c r="E77" s="134" t="s">
        <v>288</v>
      </c>
      <c r="F77" t="str">
        <f ca="1">IFERROR(VLOOKUP(ROW(Фильтр[[#This Row],[Фильтр]])-ROW(Фильтр[[#Headers],[Фильтр]]),Сооруж[],2,FALSE),"")</f>
        <v/>
      </c>
    </row>
    <row r="78" spans="3:6" ht="30" customHeight="1" x14ac:dyDescent="0.25">
      <c r="C78" s="132">
        <f ca="1">IF(ISNUMBER(SEARCH($J$4,Сооруж[[#This Row],[Сооружения]])),MAX(Сооруж[[#Headers],[Столбец1]]:OFFSET(Сооруж[[#This Row],[Столбец1]],-1,0))+1,0)</f>
        <v>0</v>
      </c>
      <c r="D78" s="132" t="s">
        <v>258</v>
      </c>
      <c r="E78" s="134" t="s">
        <v>288</v>
      </c>
      <c r="F78" t="str">
        <f ca="1">IFERROR(VLOOKUP(ROW(Фильтр[[#This Row],[Фильтр]])-ROW(Фильтр[[#Headers],[Фильтр]]),Сооруж[],2,FALSE),"")</f>
        <v/>
      </c>
    </row>
    <row r="79" spans="3:6" ht="30" customHeight="1" x14ac:dyDescent="0.25">
      <c r="C79" s="141">
        <f ca="1">IF(ISNUMBER(SEARCH($J$4,Сооруж[[#This Row],[Сооружения]])),MAX(Сооруж[[#Headers],[Столбец1]]:OFFSET(Сооруж[[#This Row],[Столбец1]],-1,0))+1,0)</f>
        <v>0</v>
      </c>
      <c r="D79" s="141" t="s">
        <v>251</v>
      </c>
      <c r="E79" s="134" t="s">
        <v>288</v>
      </c>
      <c r="F79" t="str">
        <f ca="1">IFERROR(VLOOKUP(ROW(Фильтр[[#This Row],[Фильтр]])-ROW(Фильтр[[#Headers],[Фильтр]]),Сооруж[],2,FALSE),"")</f>
        <v/>
      </c>
    </row>
    <row r="80" spans="3:6" ht="30" customHeight="1" x14ac:dyDescent="0.25">
      <c r="C80" s="141">
        <f ca="1">IF(ISNUMBER(SEARCH($J$4,Сооруж[[#This Row],[Сооружения]])),MAX(Сооруж[[#Headers],[Столбец1]]:OFFSET(Сооруж[[#This Row],[Столбец1]],-1,0))+1,0)</f>
        <v>0</v>
      </c>
      <c r="D80" s="141" t="s">
        <v>252</v>
      </c>
      <c r="E80" s="134" t="s">
        <v>288</v>
      </c>
      <c r="F80" t="str">
        <f ca="1">IFERROR(VLOOKUP(ROW(Фильтр[[#This Row],[Фильтр]])-ROW(Фильтр[[#Headers],[Фильтр]]),Сооруж[],2,FALSE),"")</f>
        <v/>
      </c>
    </row>
    <row r="81" spans="3:6" ht="30" customHeight="1" x14ac:dyDescent="0.25">
      <c r="C81" s="141">
        <f ca="1">IF(ISNUMBER(SEARCH($J$4,Сооруж[[#This Row],[Сооружения]])),MAX(Сооруж[[#Headers],[Столбец1]]:OFFSET(Сооруж[[#This Row],[Столбец1]],-1,0))+1,0)</f>
        <v>0</v>
      </c>
      <c r="D81" s="141" t="s">
        <v>253</v>
      </c>
      <c r="E81" s="134" t="s">
        <v>288</v>
      </c>
      <c r="F81" t="str">
        <f ca="1">IFERROR(VLOOKUP(ROW(Фильтр[[#This Row],[Фильтр]])-ROW(Фильтр[[#Headers],[Фильтр]]),Сооруж[],2,FALSE),"")</f>
        <v/>
      </c>
    </row>
    <row r="82" spans="3:6" ht="30" customHeight="1" x14ac:dyDescent="0.25">
      <c r="C82" s="141">
        <f ca="1">IF(ISNUMBER(SEARCH($J$4,Сооруж[[#This Row],[Сооружения]])),MAX(Сооруж[[#Headers],[Столбец1]]:OFFSET(Сооруж[[#This Row],[Столбец1]],-1,0))+1,0)</f>
        <v>0</v>
      </c>
      <c r="D82" s="141" t="s">
        <v>260</v>
      </c>
      <c r="E82" s="134" t="s">
        <v>288</v>
      </c>
      <c r="F82" t="str">
        <f ca="1">IFERROR(VLOOKUP(ROW(Фильтр[[#This Row],[Фильтр]])-ROW(Фильтр[[#Headers],[Фильтр]]),Сооруж[],2,FALSE),"")</f>
        <v/>
      </c>
    </row>
    <row r="83" spans="3:6" ht="30" customHeight="1" x14ac:dyDescent="0.25">
      <c r="C83" s="138">
        <f ca="1">IF(ISNUMBER(SEARCH($J$4,Сооруж[[#This Row],[Сооружения]])),MAX(Сооруж[[#Headers],[Столбец1]]:OFFSET(Сооруж[[#This Row],[Столбец1]],-1,0))+1,0)</f>
        <v>0</v>
      </c>
      <c r="D83" s="138" t="s">
        <v>261</v>
      </c>
      <c r="E83" s="132" t="s">
        <v>289</v>
      </c>
      <c r="F83" t="str">
        <f ca="1">IFERROR(VLOOKUP(ROW(Фильтр[[#This Row],[Фильтр]])-ROW(Фильтр[[#Headers],[Фильтр]]),Сооруж[],2,FALSE),"")</f>
        <v/>
      </c>
    </row>
    <row r="84" spans="3:6" ht="30" customHeight="1" x14ac:dyDescent="0.25">
      <c r="C84" s="138">
        <f ca="1">IF(ISNUMBER(SEARCH($J$4,Сооруж[[#This Row],[Сооружения]])),MAX(Сооруж[[#Headers],[Столбец1]]:OFFSET(Сооруж[[#This Row],[Столбец1]],-1,0))+1,0)</f>
        <v>0</v>
      </c>
      <c r="D84" s="138" t="s">
        <v>273</v>
      </c>
      <c r="E84" s="132" t="s">
        <v>289</v>
      </c>
      <c r="F84" t="str">
        <f ca="1">IFERROR(VLOOKUP(ROW(Фильтр[[#This Row],[Фильтр]])-ROW(Фильтр[[#Headers],[Фильтр]]),Сооруж[],2,FALSE),"")</f>
        <v/>
      </c>
    </row>
    <row r="85" spans="3:6" ht="30" customHeight="1" x14ac:dyDescent="0.25">
      <c r="C85" s="138">
        <f ca="1">IF(ISNUMBER(SEARCH($J$4,Сооруж[[#This Row],[Сооружения]])),MAX(Сооруж[[#Headers],[Столбец1]]:OFFSET(Сооруж[[#This Row],[Столбец1]],-1,0))+1,0)</f>
        <v>0</v>
      </c>
      <c r="D85" s="138" t="s">
        <v>269</v>
      </c>
      <c r="E85" s="132" t="s">
        <v>289</v>
      </c>
      <c r="F85" t="str">
        <f ca="1">IFERROR(VLOOKUP(ROW(Фильтр[[#This Row],[Фильтр]])-ROW(Фильтр[[#Headers],[Фильтр]]),Сооруж[],2,FALSE),"")</f>
        <v/>
      </c>
    </row>
    <row r="86" spans="3:6" ht="30" customHeight="1" x14ac:dyDescent="0.25">
      <c r="C86" s="138">
        <f ca="1">IF(ISNUMBER(SEARCH($J$4,Сооруж[[#This Row],[Сооружения]])),MAX(Сооруж[[#Headers],[Столбец1]]:OFFSET(Сооруж[[#This Row],[Столбец1]],-1,0))+1,0)</f>
        <v>0</v>
      </c>
      <c r="D86" s="138" t="s">
        <v>271</v>
      </c>
      <c r="E86" s="132" t="s">
        <v>289</v>
      </c>
      <c r="F86" t="str">
        <f ca="1">IFERROR(VLOOKUP(ROW(Фильтр[[#This Row],[Фильтр]])-ROW(Фильтр[[#Headers],[Фильтр]]),Сооруж[],2,FALSE),"")</f>
        <v/>
      </c>
    </row>
    <row r="87" spans="3:6" ht="30" customHeight="1" x14ac:dyDescent="0.25">
      <c r="C87" s="138">
        <f ca="1">IF(ISNUMBER(SEARCH($J$4,Сооруж[[#This Row],[Сооружения]])),MAX(Сооруж[[#Headers],[Столбец1]]:OFFSET(Сооруж[[#This Row],[Столбец1]],-1,0))+1,0)</f>
        <v>0</v>
      </c>
      <c r="D87" s="138" t="s">
        <v>272</v>
      </c>
      <c r="E87" s="132" t="s">
        <v>289</v>
      </c>
      <c r="F87" t="str">
        <f ca="1">IFERROR(VLOOKUP(ROW(Фильтр[[#This Row],[Фильтр]])-ROW(Фильтр[[#Headers],[Фильтр]]),Сооруж[],2,FALSE),"")</f>
        <v/>
      </c>
    </row>
    <row r="88" spans="3:6" ht="30" customHeight="1" x14ac:dyDescent="0.25">
      <c r="C88" s="138">
        <f ca="1">IF(ISNUMBER(SEARCH($J$4,Сооруж[[#This Row],[Сооружения]])),MAX(Сооруж[[#Headers],[Столбец1]]:OFFSET(Сооруж[[#This Row],[Столбец1]],-1,0))+1,0)</f>
        <v>0</v>
      </c>
      <c r="D88" s="138" t="s">
        <v>274</v>
      </c>
      <c r="E88" s="132" t="s">
        <v>289</v>
      </c>
      <c r="F88" t="str">
        <f ca="1">IFERROR(VLOOKUP(ROW(Фильтр[[#This Row],[Фильтр]])-ROW(Фильтр[[#Headers],[Фильтр]]),Сооруж[],2,FALSE),"")</f>
        <v/>
      </c>
    </row>
    <row r="89" spans="3:6" ht="30" customHeight="1" x14ac:dyDescent="0.25">
      <c r="C89" s="138">
        <f ca="1">IF(ISNUMBER(SEARCH($J$4,Сооруж[[#This Row],[Сооружения]])),MAX(Сооруж[[#Headers],[Столбец1]]:OFFSET(Сооруж[[#This Row],[Столбец1]],-1,0))+1,0)</f>
        <v>0</v>
      </c>
      <c r="D89" s="138" t="s">
        <v>276</v>
      </c>
      <c r="E89" s="132" t="s">
        <v>289</v>
      </c>
      <c r="F89" t="str">
        <f ca="1">IFERROR(VLOOKUP(ROW(Фильтр[[#This Row],[Фильтр]])-ROW(Фильтр[[#Headers],[Фильтр]]),Сооруж[],2,FALSE),"")</f>
        <v/>
      </c>
    </row>
    <row r="90" spans="3:6" ht="30" customHeight="1" x14ac:dyDescent="0.25">
      <c r="C90" s="138">
        <f ca="1">IF(ISNUMBER(SEARCH($J$4,Сооруж[[#This Row],[Сооружения]])),MAX(Сооруж[[#Headers],[Столбец1]]:OFFSET(Сооруж[[#This Row],[Столбец1]],-1,0))+1,0)</f>
        <v>0</v>
      </c>
      <c r="D90" s="138" t="s">
        <v>344</v>
      </c>
      <c r="E90" s="132" t="s">
        <v>289</v>
      </c>
      <c r="F90" t="str">
        <f ca="1">IFERROR(VLOOKUP(ROW(Фильтр[[#This Row],[Фильтр]])-ROW(Фильтр[[#Headers],[Фильтр]]),Сооруж[],2,FALSE),"")</f>
        <v/>
      </c>
    </row>
    <row r="91" spans="3:6" ht="30" customHeight="1" x14ac:dyDescent="0.25">
      <c r="C91" s="138">
        <f ca="1">IF(ISNUMBER(SEARCH($J$4,Сооруж[[#This Row],[Сооружения]])),MAX(Сооруж[[#Headers],[Столбец1]]:OFFSET(Сооруж[[#This Row],[Столбец1]],-1,0))+1,0)</f>
        <v>0</v>
      </c>
      <c r="D91" s="138" t="s">
        <v>345</v>
      </c>
      <c r="E91" s="132" t="s">
        <v>289</v>
      </c>
      <c r="F91" t="str">
        <f ca="1">IFERROR(VLOOKUP(ROW(Фильтр[[#This Row],[Фильтр]])-ROW(Фильтр[[#Headers],[Фильтр]]),Сооруж[],2,FALSE),"")</f>
        <v/>
      </c>
    </row>
    <row r="92" spans="3:6" ht="30" customHeight="1" x14ac:dyDescent="0.25">
      <c r="C92" s="138">
        <f ca="1">IF(ISNUMBER(SEARCH($J$4,Сооруж[[#This Row],[Сооружения]])),MAX(Сооруж[[#Headers],[Столбец1]]:OFFSET(Сооруж[[#This Row],[Столбец1]],-1,0))+1,0)</f>
        <v>0</v>
      </c>
      <c r="D92" s="138" t="s">
        <v>346</v>
      </c>
      <c r="E92" s="132" t="s">
        <v>289</v>
      </c>
      <c r="F92" t="str">
        <f ca="1">IFERROR(VLOOKUP(ROW(Фильтр[[#This Row],[Фильтр]])-ROW(Фильтр[[#Headers],[Фильтр]]),Сооруж[],2,FALSE),"")</f>
        <v/>
      </c>
    </row>
    <row r="93" spans="3:6" ht="30" customHeight="1" x14ac:dyDescent="0.25">
      <c r="C93" s="138">
        <f ca="1">IF(ISNUMBER(SEARCH($J$4,Сооруж[[#This Row],[Сооружения]])),MAX(Сооруж[[#Headers],[Столбец1]]:OFFSET(Сооруж[[#This Row],[Столбец1]],-1,0))+1,0)</f>
        <v>0</v>
      </c>
      <c r="D93" s="138" t="s">
        <v>347</v>
      </c>
      <c r="E93" s="132" t="s">
        <v>289</v>
      </c>
      <c r="F93" t="str">
        <f ca="1">IFERROR(VLOOKUP(ROW(Фильтр[[#This Row],[Фильтр]])-ROW(Фильтр[[#Headers],[Фильтр]]),Сооруж[],2,FALSE),"")</f>
        <v/>
      </c>
    </row>
    <row r="94" spans="3:6" ht="30" customHeight="1" x14ac:dyDescent="0.25">
      <c r="C94" s="138">
        <f ca="1">IF(ISNUMBER(SEARCH($J$4,Сооруж[[#This Row],[Сооружения]])),MAX(Сооруж[[#Headers],[Столбец1]]:OFFSET(Сооруж[[#This Row],[Столбец1]],-1,0))+1,0)</f>
        <v>0</v>
      </c>
      <c r="D94" s="138" t="s">
        <v>348</v>
      </c>
      <c r="E94" s="132" t="s">
        <v>289</v>
      </c>
      <c r="F94" t="str">
        <f ca="1">IFERROR(VLOOKUP(ROW(Фильтр[[#This Row],[Фильтр]])-ROW(Фильтр[[#Headers],[Фильтр]]),Сооруж[],2,FALSE),"")</f>
        <v/>
      </c>
    </row>
    <row r="95" spans="3:6" ht="30" customHeight="1" x14ac:dyDescent="0.25">
      <c r="C95" s="139">
        <f ca="1">IF(ISNUMBER(SEARCH($J$4,Сооруж[[#This Row],[Сооружения]])),MAX(Сооруж[[#Headers],[Столбец1]]:OFFSET(Сооруж[[#This Row],[Столбец1]],-1,0))+1,0)</f>
        <v>0</v>
      </c>
      <c r="D95" s="139" t="s">
        <v>349</v>
      </c>
      <c r="E95" s="132" t="s">
        <v>289</v>
      </c>
      <c r="F95" t="str">
        <f ca="1">IFERROR(VLOOKUP(ROW(Фильтр[[#This Row],[Фильтр]])-ROW(Фильтр[[#Headers],[Фильтр]]),Сооруж[],2,FALSE),"")</f>
        <v/>
      </c>
    </row>
    <row r="96" spans="3:6" ht="30" customHeight="1" x14ac:dyDescent="0.25">
      <c r="C96" s="138">
        <f ca="1">IF(ISNUMBER(SEARCH($J$4,Сооруж[[#This Row],[Сооружения]])),MAX(Сооруж[[#Headers],[Столбец1]]:OFFSET(Сооруж[[#This Row],[Столбец1]],-1,0))+1,0)</f>
        <v>0</v>
      </c>
      <c r="D96" s="138" t="s">
        <v>262</v>
      </c>
      <c r="E96" s="132" t="s">
        <v>290</v>
      </c>
      <c r="F96" t="str">
        <f ca="1">IFERROR(VLOOKUP(ROW(Фильтр[[#This Row],[Фильтр]])-ROW(Фильтр[[#Headers],[Фильтр]]),Сооруж[],2,FALSE),"")</f>
        <v/>
      </c>
    </row>
    <row r="97" spans="3:6" ht="30" customHeight="1" x14ac:dyDescent="0.25">
      <c r="C97" s="138">
        <f ca="1">IF(ISNUMBER(SEARCH($J$4,Сооруж[[#This Row],[Сооружения]])),MAX(Сооруж[[#Headers],[Столбец1]]:OFFSET(Сооруж[[#This Row],[Столбец1]],-1,0))+1,0)</f>
        <v>0</v>
      </c>
      <c r="D97" s="138" t="s">
        <v>262</v>
      </c>
      <c r="E97" s="132" t="s">
        <v>290</v>
      </c>
      <c r="F97" t="str">
        <f ca="1">IFERROR(VLOOKUP(ROW(Фильтр[[#This Row],[Фильтр]])-ROW(Фильтр[[#Headers],[Фильтр]]),Сооруж[],2,FALSE),"")</f>
        <v/>
      </c>
    </row>
    <row r="98" spans="3:6" ht="30" customHeight="1" x14ac:dyDescent="0.25">
      <c r="C98" s="138">
        <f ca="1">IF(ISNUMBER(SEARCH($J$4,Сооруж[[#This Row],[Сооружения]])),MAX(Сооруж[[#Headers],[Столбец1]]:OFFSET(Сооруж[[#This Row],[Столбец1]],-1,0))+1,0)</f>
        <v>0</v>
      </c>
      <c r="D98" s="138" t="s">
        <v>263</v>
      </c>
      <c r="E98" s="132" t="s">
        <v>290</v>
      </c>
      <c r="F98" t="str">
        <f ca="1">IFERROR(VLOOKUP(ROW(Фильтр[[#This Row],[Фильтр]])-ROW(Фильтр[[#Headers],[Фильтр]]),Сооруж[],2,FALSE),"")</f>
        <v/>
      </c>
    </row>
    <row r="99" spans="3:6" ht="30" customHeight="1" x14ac:dyDescent="0.25">
      <c r="C99" s="138">
        <f ca="1">IF(ISNUMBER(SEARCH($J$4,Сооруж[[#This Row],[Сооружения]])),MAX(Сооруж[[#Headers],[Столбец1]]:OFFSET(Сооруж[[#This Row],[Столбец1]],-1,0))+1,0)</f>
        <v>0</v>
      </c>
      <c r="D99" s="138" t="s">
        <v>264</v>
      </c>
      <c r="E99" s="132" t="s">
        <v>290</v>
      </c>
      <c r="F99" t="str">
        <f ca="1">IFERROR(VLOOKUP(ROW(Фильтр[[#This Row],[Фильтр]])-ROW(Фильтр[[#Headers],[Фильтр]]),Сооруж[],2,FALSE),"")</f>
        <v/>
      </c>
    </row>
    <row r="100" spans="3:6" ht="30" customHeight="1" x14ac:dyDescent="0.25">
      <c r="C100" s="138">
        <f ca="1">IF(ISNUMBER(SEARCH($J$4,Сооруж[[#This Row],[Сооружения]])),MAX(Сооруж[[#Headers],[Столбец1]]:OFFSET(Сооруж[[#This Row],[Столбец1]],-1,0))+1,0)</f>
        <v>0</v>
      </c>
      <c r="D100" s="138" t="s">
        <v>265</v>
      </c>
      <c r="E100" s="132" t="s">
        <v>290</v>
      </c>
      <c r="F100" t="str">
        <f ca="1">IFERROR(VLOOKUP(ROW(Фильтр[[#This Row],[Фильтр]])-ROW(Фильтр[[#Headers],[Фильтр]]),Сооруж[],2,FALSE),"")</f>
        <v/>
      </c>
    </row>
    <row r="101" spans="3:6" ht="30" customHeight="1" x14ac:dyDescent="0.25">
      <c r="C101" s="138">
        <f ca="1">IF(ISNUMBER(SEARCH($J$4,Сооруж[[#This Row],[Сооружения]])),MAX(Сооруж[[#Headers],[Столбец1]]:OFFSET(Сооруж[[#This Row],[Столбец1]],-1,0))+1,0)</f>
        <v>0</v>
      </c>
      <c r="D101" s="138" t="s">
        <v>266</v>
      </c>
      <c r="E101" s="132" t="s">
        <v>290</v>
      </c>
      <c r="F101" t="str">
        <f ca="1">IFERROR(VLOOKUP(ROW(Фильтр[[#This Row],[Фильтр]])-ROW(Фильтр[[#Headers],[Фильтр]]),Сооруж[],2,FALSE),"")</f>
        <v/>
      </c>
    </row>
    <row r="102" spans="3:6" ht="30" customHeight="1" x14ac:dyDescent="0.25">
      <c r="C102" s="136">
        <f ca="1">IF(ISNUMBER(SEARCH($J$4,Сооруж[[#This Row],[Сооружения]])),MAX(Сооруж[[#Headers],[Столбец1]]:OFFSET(Сооруж[[#This Row],[Столбец1]],-1,0))+1,0)</f>
        <v>0</v>
      </c>
      <c r="D102" s="136" t="s">
        <v>362</v>
      </c>
      <c r="E102" s="132" t="s">
        <v>290</v>
      </c>
      <c r="F102" t="str">
        <f ca="1">IFERROR(VLOOKUP(ROW(Фильтр[[#This Row],[Фильтр]])-ROW(Фильтр[[#Headers],[Фильтр]]),Сооруж[],2,FALSE),"")</f>
        <v/>
      </c>
    </row>
    <row r="103" spans="3:6" ht="30" customHeight="1" x14ac:dyDescent="0.25">
      <c r="C103" s="134">
        <f ca="1">IF(ISNUMBER(SEARCH($J$4,Сооруж[[#This Row],[Сооружения]])),MAX(Сооруж[[#Headers],[Столбец1]]:OFFSET(Сооруж[[#This Row],[Столбец1]],-1,0))+1,0)</f>
        <v>0</v>
      </c>
      <c r="D103" s="134" t="s">
        <v>302</v>
      </c>
      <c r="E103" s="132" t="s">
        <v>327</v>
      </c>
      <c r="F103" t="str">
        <f ca="1">IFERROR(VLOOKUP(ROW(Фильтр[[#This Row],[Фильтр]])-ROW(Фильтр[[#Headers],[Фильтр]]),Сооруж[],2,FALSE),"")</f>
        <v/>
      </c>
    </row>
    <row r="104" spans="3:6" ht="30" customHeight="1" x14ac:dyDescent="0.25">
      <c r="C104" s="134">
        <f ca="1">IF(ISNUMBER(SEARCH($J$4,Сооруж[[#This Row],[Сооружения]])),MAX(Сооруж[[#Headers],[Столбец1]]:OFFSET(Сооруж[[#This Row],[Столбец1]],-1,0))+1,0)</f>
        <v>0</v>
      </c>
      <c r="D104" s="134" t="s">
        <v>304</v>
      </c>
      <c r="E104" s="132" t="s">
        <v>327</v>
      </c>
      <c r="F104" t="str">
        <f ca="1">IFERROR(VLOOKUP(ROW(Фильтр[[#This Row],[Фильтр]])-ROW(Фильтр[[#Headers],[Фильтр]]),Сооруж[],2,FALSE),"")</f>
        <v/>
      </c>
    </row>
    <row r="105" spans="3:6" ht="30" customHeight="1" x14ac:dyDescent="0.25">
      <c r="C105" s="134">
        <f ca="1">IF(ISNUMBER(SEARCH($J$4,Сооруж[[#This Row],[Сооружения]])),MAX(Сооруж[[#Headers],[Столбец1]]:OFFSET(Сооруж[[#This Row],[Столбец1]],-1,0))+1,0)</f>
        <v>0</v>
      </c>
      <c r="D105" s="134" t="s">
        <v>305</v>
      </c>
      <c r="E105" s="132" t="s">
        <v>327</v>
      </c>
      <c r="F105" t="str">
        <f ca="1">IFERROR(VLOOKUP(ROW(Фильтр[[#This Row],[Фильтр]])-ROW(Фильтр[[#Headers],[Фильтр]]),Сооруж[],2,FALSE),"")</f>
        <v/>
      </c>
    </row>
    <row r="106" spans="3:6" ht="30" customHeight="1" x14ac:dyDescent="0.25">
      <c r="C106" s="134">
        <f ca="1">IF(ISNUMBER(SEARCH($J$4,Сооруж[[#This Row],[Сооружения]])),MAX(Сооруж[[#Headers],[Столбец1]]:OFFSET(Сооруж[[#This Row],[Столбец1]],-1,0))+1,0)</f>
        <v>0</v>
      </c>
      <c r="D106" s="134" t="s">
        <v>306</v>
      </c>
      <c r="E106" s="132" t="s">
        <v>327</v>
      </c>
      <c r="F106" t="str">
        <f ca="1">IFERROR(VLOOKUP(ROW(Фильтр[[#This Row],[Фильтр]])-ROW(Фильтр[[#Headers],[Фильтр]]),Сооруж[],2,FALSE),"")</f>
        <v/>
      </c>
    </row>
    <row r="107" spans="3:6" ht="30" customHeight="1" x14ac:dyDescent="0.25">
      <c r="C107" s="134">
        <f ca="1">IF(ISNUMBER(SEARCH($J$4,Сооруж[[#This Row],[Сооружения]])),MAX(Сооруж[[#Headers],[Столбец1]]:OFFSET(Сооруж[[#This Row],[Столбец1]],-1,0))+1,0)</f>
        <v>0</v>
      </c>
      <c r="D107" s="134" t="s">
        <v>307</v>
      </c>
      <c r="E107" s="132" t="s">
        <v>327</v>
      </c>
      <c r="F107" t="str">
        <f ca="1">IFERROR(VLOOKUP(ROW(Фильтр[[#This Row],[Фильтр]])-ROW(Фильтр[[#Headers],[Фильтр]]),Сооруж[],2,FALSE),"")</f>
        <v/>
      </c>
    </row>
    <row r="108" spans="3:6" ht="30" customHeight="1" x14ac:dyDescent="0.25">
      <c r="C108" s="134">
        <f ca="1">IF(ISNUMBER(SEARCH($J$4,Сооруж[[#This Row],[Сооружения]])),MAX(Сооруж[[#Headers],[Столбец1]]:OFFSET(Сооруж[[#This Row],[Столбец1]],-1,0))+1,0)</f>
        <v>0</v>
      </c>
      <c r="D108" s="134" t="s">
        <v>308</v>
      </c>
      <c r="E108" s="132" t="s">
        <v>327</v>
      </c>
      <c r="F108" t="str">
        <f ca="1">IFERROR(VLOOKUP(ROW(Фильтр[[#This Row],[Фильтр]])-ROW(Фильтр[[#Headers],[Фильтр]]),Сооруж[],2,FALSE),"")</f>
        <v/>
      </c>
    </row>
    <row r="109" spans="3:6" ht="30" customHeight="1" x14ac:dyDescent="0.25">
      <c r="C109" s="134">
        <f ca="1">IF(ISNUMBER(SEARCH($J$4,Сооруж[[#This Row],[Сооружения]])),MAX(Сооруж[[#Headers],[Столбец1]]:OFFSET(Сооруж[[#This Row],[Столбец1]],-1,0))+1,0)</f>
        <v>0</v>
      </c>
      <c r="D109" s="134" t="s">
        <v>309</v>
      </c>
      <c r="E109" s="132" t="s">
        <v>327</v>
      </c>
      <c r="F109" t="str">
        <f ca="1">IFERROR(VLOOKUP(ROW(Фильтр[[#This Row],[Фильтр]])-ROW(Фильтр[[#Headers],[Фильтр]]),Сооруж[],2,FALSE),"")</f>
        <v/>
      </c>
    </row>
    <row r="110" spans="3:6" ht="30" customHeight="1" x14ac:dyDescent="0.25">
      <c r="C110" s="134">
        <f ca="1">IF(ISNUMBER(SEARCH($J$4,Сооруж[[#This Row],[Сооружения]])),MAX(Сооруж[[#Headers],[Столбец1]]:OFFSET(Сооруж[[#This Row],[Столбец1]],-1,0))+1,0)</f>
        <v>0</v>
      </c>
      <c r="D110" s="134" t="s">
        <v>310</v>
      </c>
      <c r="E110" s="132" t="s">
        <v>327</v>
      </c>
      <c r="F110" t="str">
        <f ca="1">IFERROR(VLOOKUP(ROW(Фильтр[[#This Row],[Фильтр]])-ROW(Фильтр[[#Headers],[Фильтр]]),Сооруж[],2,FALSE),"")</f>
        <v/>
      </c>
    </row>
    <row r="111" spans="3:6" ht="30" customHeight="1" x14ac:dyDescent="0.25">
      <c r="C111" s="134">
        <f ca="1">IF(ISNUMBER(SEARCH($J$4,Сооруж[[#This Row],[Сооружения]])),MAX(Сооруж[[#Headers],[Столбец1]]:OFFSET(Сооруж[[#This Row],[Столбец1]],-1,0))+1,0)</f>
        <v>0</v>
      </c>
      <c r="D111" s="134" t="s">
        <v>311</v>
      </c>
      <c r="E111" s="132" t="s">
        <v>327</v>
      </c>
      <c r="F111" t="str">
        <f ca="1">IFERROR(VLOOKUP(ROW(Фильтр[[#This Row],[Фильтр]])-ROW(Фильтр[[#Headers],[Фильтр]]),Сооруж[],2,FALSE),"")</f>
        <v/>
      </c>
    </row>
    <row r="112" spans="3:6" ht="30" customHeight="1" x14ac:dyDescent="0.25">
      <c r="C112" s="134">
        <f ca="1">IF(ISNUMBER(SEARCH($J$4,Сооруж[[#This Row],[Сооружения]])),MAX(Сооруж[[#Headers],[Столбец1]]:OFFSET(Сооруж[[#This Row],[Столбец1]],-1,0))+1,0)</f>
        <v>0</v>
      </c>
      <c r="D112" s="134" t="s">
        <v>312</v>
      </c>
      <c r="E112" s="132" t="s">
        <v>327</v>
      </c>
      <c r="F112" t="str">
        <f ca="1">IFERROR(VLOOKUP(ROW(Фильтр[[#This Row],[Фильтр]])-ROW(Фильтр[[#Headers],[Фильтр]]),Сооруж[],2,FALSE),"")</f>
        <v/>
      </c>
    </row>
    <row r="113" spans="3:6" ht="30" customHeight="1" x14ac:dyDescent="0.25">
      <c r="C113" s="134">
        <f ca="1">IF(ISNUMBER(SEARCH($J$4,Сооруж[[#This Row],[Сооружения]])),MAX(Сооруж[[#Headers],[Столбец1]]:OFFSET(Сооруж[[#This Row],[Столбец1]],-1,0))+1,0)</f>
        <v>0</v>
      </c>
      <c r="D113" s="134" t="s">
        <v>313</v>
      </c>
      <c r="E113" s="132" t="s">
        <v>327</v>
      </c>
      <c r="F113" t="str">
        <f ca="1">IFERROR(VLOOKUP(ROW(Фильтр[[#This Row],[Фильтр]])-ROW(Фильтр[[#Headers],[Фильтр]]),Сооруж[],2,FALSE),"")</f>
        <v/>
      </c>
    </row>
    <row r="114" spans="3:6" ht="30" customHeight="1" x14ac:dyDescent="0.25">
      <c r="C114" s="134">
        <f ca="1">IF(ISNUMBER(SEARCH($J$4,Сооруж[[#This Row],[Сооружения]])),MAX(Сооруж[[#Headers],[Столбец1]]:OFFSET(Сооруж[[#This Row],[Столбец1]],-1,0))+1,0)</f>
        <v>0</v>
      </c>
      <c r="D114" s="134" t="s">
        <v>314</v>
      </c>
      <c r="E114" s="132" t="s">
        <v>327</v>
      </c>
      <c r="F114" t="str">
        <f ca="1">IFERROR(VLOOKUP(ROW(Фильтр[[#This Row],[Фильтр]])-ROW(Фильтр[[#Headers],[Фильтр]]),Сооруж[],2,FALSE),"")</f>
        <v/>
      </c>
    </row>
    <row r="115" spans="3:6" ht="30" customHeight="1" x14ac:dyDescent="0.25">
      <c r="C115" s="134">
        <f ca="1">IF(ISNUMBER(SEARCH($J$4,Сооруж[[#This Row],[Сооружения]])),MAX(Сооруж[[#Headers],[Столбец1]]:OFFSET(Сооруж[[#This Row],[Столбец1]],-1,0))+1,0)</f>
        <v>0</v>
      </c>
      <c r="D115" s="134" t="s">
        <v>315</v>
      </c>
      <c r="E115" s="132" t="s">
        <v>327</v>
      </c>
      <c r="F115" t="str">
        <f ca="1">IFERROR(VLOOKUP(ROW(Фильтр[[#This Row],[Фильтр]])-ROW(Фильтр[[#Headers],[Фильтр]]),Сооруж[],2,FALSE),"")</f>
        <v/>
      </c>
    </row>
    <row r="116" spans="3:6" ht="30" customHeight="1" x14ac:dyDescent="0.25">
      <c r="C116" s="134">
        <f ca="1">IF(ISNUMBER(SEARCH($J$4,Сооруж[[#This Row],[Сооружения]])),MAX(Сооруж[[#Headers],[Столбец1]]:OFFSET(Сооруж[[#This Row],[Столбец1]],-1,0))+1,0)</f>
        <v>0</v>
      </c>
      <c r="D116" s="134" t="s">
        <v>316</v>
      </c>
      <c r="E116" s="132" t="s">
        <v>327</v>
      </c>
      <c r="F116" t="str">
        <f ca="1">IFERROR(VLOOKUP(ROW(Фильтр[[#This Row],[Фильтр]])-ROW(Фильтр[[#Headers],[Фильтр]]),Сооруж[],2,FALSE),"")</f>
        <v/>
      </c>
    </row>
    <row r="117" spans="3:6" ht="30" customHeight="1" x14ac:dyDescent="0.25">
      <c r="C117" s="134">
        <f ca="1">IF(ISNUMBER(SEARCH($J$4,Сооруж[[#This Row],[Сооружения]])),MAX(Сооруж[[#Headers],[Столбец1]]:OFFSET(Сооруж[[#This Row],[Столбец1]],-1,0))+1,0)</f>
        <v>0</v>
      </c>
      <c r="D117" s="134" t="s">
        <v>317</v>
      </c>
      <c r="E117" s="132" t="s">
        <v>327</v>
      </c>
      <c r="F117" t="str">
        <f ca="1">IFERROR(VLOOKUP(ROW(Фильтр[[#This Row],[Фильтр]])-ROW(Фильтр[[#Headers],[Фильтр]]),Сооруж[],2,FALSE),"")</f>
        <v/>
      </c>
    </row>
    <row r="118" spans="3:6" ht="30" customHeight="1" x14ac:dyDescent="0.25">
      <c r="C118" s="134">
        <f ca="1">IF(ISNUMBER(SEARCH($J$4,Сооруж[[#This Row],[Сооружения]])),MAX(Сооруж[[#Headers],[Столбец1]]:OFFSET(Сооруж[[#This Row],[Столбец1]],-1,0))+1,0)</f>
        <v>0</v>
      </c>
      <c r="D118" s="134" t="s">
        <v>318</v>
      </c>
      <c r="E118" s="132" t="s">
        <v>327</v>
      </c>
      <c r="F118" t="str">
        <f ca="1">IFERROR(VLOOKUP(ROW(Фильтр[[#This Row],[Фильтр]])-ROW(Фильтр[[#Headers],[Фильтр]]),Сооруж[],2,FALSE),"")</f>
        <v/>
      </c>
    </row>
    <row r="119" spans="3:6" ht="30" customHeight="1" x14ac:dyDescent="0.25">
      <c r="C119" s="134">
        <f ca="1">IF(ISNUMBER(SEARCH($J$4,Сооруж[[#This Row],[Сооружения]])),MAX(Сооруж[[#Headers],[Столбец1]]:OFFSET(Сооруж[[#This Row],[Столбец1]],-1,0))+1,0)</f>
        <v>0</v>
      </c>
      <c r="D119" s="134" t="s">
        <v>319</v>
      </c>
      <c r="E119" s="132" t="s">
        <v>327</v>
      </c>
      <c r="F119" t="str">
        <f ca="1">IFERROR(VLOOKUP(ROW(Фильтр[[#This Row],[Фильтр]])-ROW(Фильтр[[#Headers],[Фильтр]]),Сооруж[],2,FALSE),"")</f>
        <v/>
      </c>
    </row>
    <row r="120" spans="3:6" ht="30" customHeight="1" x14ac:dyDescent="0.25">
      <c r="C120" s="134">
        <f ca="1">IF(ISNUMBER(SEARCH($J$4,Сооруж[[#This Row],[Сооружения]])),MAX(Сооруж[[#Headers],[Столбец1]]:OFFSET(Сооруж[[#This Row],[Столбец1]],-1,0))+1,0)</f>
        <v>0</v>
      </c>
      <c r="D120" s="134" t="s">
        <v>320</v>
      </c>
      <c r="E120" s="132" t="s">
        <v>327</v>
      </c>
      <c r="F120" t="str">
        <f ca="1">IFERROR(VLOOKUP(ROW(Фильтр[[#This Row],[Фильтр]])-ROW(Фильтр[[#Headers],[Фильтр]]),Сооруж[],2,FALSE),"")</f>
        <v/>
      </c>
    </row>
    <row r="121" spans="3:6" ht="30" customHeight="1" x14ac:dyDescent="0.25">
      <c r="C121" s="134">
        <f ca="1">IF(ISNUMBER(SEARCH($J$4,Сооруж[[#This Row],[Сооружения]])),MAX(Сооруж[[#Headers],[Столбец1]]:OFFSET(Сооруж[[#This Row],[Столбец1]],-1,0))+1,0)</f>
        <v>0</v>
      </c>
      <c r="D121" s="134" t="s">
        <v>321</v>
      </c>
      <c r="E121" s="132" t="s">
        <v>327</v>
      </c>
      <c r="F121" t="str">
        <f ca="1">IFERROR(VLOOKUP(ROW(Фильтр[[#This Row],[Фильтр]])-ROW(Фильтр[[#Headers],[Фильтр]]),Сооруж[],2,FALSE),"")</f>
        <v/>
      </c>
    </row>
    <row r="122" spans="3:6" ht="30" customHeight="1" x14ac:dyDescent="0.25">
      <c r="C122" s="134">
        <f ca="1">IF(ISNUMBER(SEARCH($J$4,Сооруж[[#This Row],[Сооружения]])),MAX(Сооруж[[#Headers],[Столбец1]]:OFFSET(Сооруж[[#This Row],[Столбец1]],-1,0))+1,0)</f>
        <v>0</v>
      </c>
      <c r="D122" s="134" t="s">
        <v>322</v>
      </c>
      <c r="E122" s="132" t="s">
        <v>327</v>
      </c>
      <c r="F122" t="str">
        <f ca="1">IFERROR(VLOOKUP(ROW(Фильтр[[#This Row],[Фильтр]])-ROW(Фильтр[[#Headers],[Фильтр]]),Сооруж[],2,FALSE),"")</f>
        <v/>
      </c>
    </row>
    <row r="123" spans="3:6" ht="30" customHeight="1" x14ac:dyDescent="0.25">
      <c r="C123" s="134">
        <f ca="1">IF(ISNUMBER(SEARCH($J$4,Сооруж[[#This Row],[Сооружения]])),MAX(Сооруж[[#Headers],[Столбец1]]:OFFSET(Сооруж[[#This Row],[Столбец1]],-1,0))+1,0)</f>
        <v>0</v>
      </c>
      <c r="D123" s="134" t="s">
        <v>323</v>
      </c>
      <c r="E123" s="132" t="s">
        <v>327</v>
      </c>
      <c r="F123" t="str">
        <f ca="1">IFERROR(VLOOKUP(ROW(Фильтр[[#This Row],[Фильтр]])-ROW(Фильтр[[#Headers],[Фильтр]]),Сооруж[],2,FALSE),"")</f>
        <v/>
      </c>
    </row>
    <row r="124" spans="3:6" ht="30" customHeight="1" x14ac:dyDescent="0.25">
      <c r="C124" s="134">
        <f ca="1">IF(ISNUMBER(SEARCH($J$4,Сооруж[[#This Row],[Сооружения]])),MAX(Сооруж[[#Headers],[Столбец1]]:OFFSET(Сооруж[[#This Row],[Столбец1]],-1,0))+1,0)</f>
        <v>0</v>
      </c>
      <c r="D124" s="134" t="s">
        <v>324</v>
      </c>
      <c r="E124" s="132" t="s">
        <v>327</v>
      </c>
      <c r="F124" t="str">
        <f ca="1">IFERROR(VLOOKUP(ROW(Фильтр[[#This Row],[Фильтр]])-ROW(Фильтр[[#Headers],[Фильтр]]),Сооруж[],2,FALSE),"")</f>
        <v/>
      </c>
    </row>
    <row r="125" spans="3:6" ht="30" customHeight="1" x14ac:dyDescent="0.25">
      <c r="C125" s="135">
        <f ca="1">IF(ISNUMBER(SEARCH($J$4,Сооруж[[#This Row],[Сооружения]])),MAX(Сооруж[[#Headers],[Столбец1]]:OFFSET(Сооруж[[#This Row],[Столбец1]],-1,0))+1,0)</f>
        <v>0</v>
      </c>
      <c r="D125" s="135" t="s">
        <v>325</v>
      </c>
      <c r="E125" s="132" t="s">
        <v>327</v>
      </c>
      <c r="F125" t="str">
        <f ca="1">IFERROR(VLOOKUP(ROW(Фильтр[[#This Row],[Фильтр]])-ROW(Фильтр[[#Headers],[Фильтр]]),Сооруж[],2,FALSE),"")</f>
        <v/>
      </c>
    </row>
    <row r="126" spans="3:6" ht="30" customHeight="1" x14ac:dyDescent="0.25">
      <c r="C126" s="134">
        <f ca="1">IF(ISNUMBER(SEARCH($J$4,Сооруж[[#This Row],[Сооружения]])),MAX(Сооруж[[#Headers],[Столбец1]]:OFFSET(Сооруж[[#This Row],[Столбец1]],-1,0))+1,0)</f>
        <v>0</v>
      </c>
      <c r="D126" s="134" t="s">
        <v>326</v>
      </c>
      <c r="E126" s="132" t="s">
        <v>327</v>
      </c>
      <c r="F126" t="str">
        <f ca="1">IFERROR(VLOOKUP(ROW(Фильтр[[#This Row],[Фильтр]])-ROW(Фильтр[[#Headers],[Фильтр]]),Сооруж[],2,FALSE),"")</f>
        <v/>
      </c>
    </row>
    <row r="127" spans="3:6" ht="30" customHeight="1" x14ac:dyDescent="0.25">
      <c r="C127" s="139">
        <f ca="1">IF(ISNUMBER(SEARCH($J$4,Сооруж[[#This Row],[Сооружения]])),MAX(Сооруж[[#Headers],[Столбец1]]:OFFSET(Сооруж[[#This Row],[Столбец1]],-1,0))+1,0)</f>
        <v>0</v>
      </c>
      <c r="D127" s="139" t="s">
        <v>335</v>
      </c>
      <c r="E127" s="135" t="s">
        <v>334</v>
      </c>
      <c r="F127" t="str">
        <f ca="1">IFERROR(VLOOKUP(ROW(Фильтр[[#This Row],[Фильтр]])-ROW(Фильтр[[#Headers],[Фильтр]]),Сооруж[],2,FALSE),"")</f>
        <v/>
      </c>
    </row>
    <row r="128" spans="3:6" ht="30" customHeight="1" x14ac:dyDescent="0.25">
      <c r="C128" s="139">
        <f ca="1">IF(ISNUMBER(SEARCH($J$4,Сооруж[[#This Row],[Сооружения]])),MAX(Сооруж[[#Headers],[Столбец1]]:OFFSET(Сооруж[[#This Row],[Столбец1]],-1,0))+1,0)</f>
        <v>0</v>
      </c>
      <c r="D128" s="139" t="s">
        <v>338</v>
      </c>
      <c r="E128" s="135" t="s">
        <v>334</v>
      </c>
      <c r="F128" t="str">
        <f ca="1">IFERROR(VLOOKUP(ROW(Фильтр[[#This Row],[Фильтр]])-ROW(Фильтр[[#Headers],[Фильтр]]),Сооруж[],2,FALSE),"")</f>
        <v/>
      </c>
    </row>
    <row r="129" spans="3:6" ht="30" customHeight="1" x14ac:dyDescent="0.25">
      <c r="C129" s="139">
        <f ca="1">IF(ISNUMBER(SEARCH($J$4,Сооруж[[#This Row],[Сооружения]])),MAX(Сооруж[[#Headers],[Столбец1]]:OFFSET(Сооруж[[#This Row],[Столбец1]],-1,0))+1,0)</f>
        <v>0</v>
      </c>
      <c r="D129" s="139" t="s">
        <v>339</v>
      </c>
      <c r="E129" s="135" t="s">
        <v>334</v>
      </c>
      <c r="F129" t="str">
        <f ca="1">IFERROR(VLOOKUP(ROW(Фильтр[[#This Row],[Фильтр]])-ROW(Фильтр[[#Headers],[Фильтр]]),Сооруж[],2,FALSE),"")</f>
        <v/>
      </c>
    </row>
    <row r="130" spans="3:6" ht="30" customHeight="1" x14ac:dyDescent="0.25">
      <c r="C130" s="134">
        <f ca="1">IF(ISNUMBER(SEARCH($J$4,Сооруж[[#This Row],[Сооружения]])),MAX(Сооруж[[#Headers],[Столбец1]]:OFFSET(Сооруж[[#This Row],[Столбец1]],-1,0))+1,0)</f>
        <v>0</v>
      </c>
      <c r="D130" s="134" t="s">
        <v>340</v>
      </c>
      <c r="E130" s="135" t="s">
        <v>334</v>
      </c>
      <c r="F130" t="str">
        <f ca="1">IFERROR(VLOOKUP(ROW(Фильтр[[#This Row],[Фильтр]])-ROW(Фильтр[[#Headers],[Фильтр]]),Сооруж[],2,FALSE),"")</f>
        <v/>
      </c>
    </row>
    <row r="131" spans="3:6" ht="30" customHeight="1" x14ac:dyDescent="0.25">
      <c r="C131" s="134">
        <f ca="1">IF(ISNUMBER(SEARCH($J$4,Сооруж[[#This Row],[Сооружения]])),MAX(Сооруж[[#Headers],[Столбец1]]:OFFSET(Сооруж[[#This Row],[Столбец1]],-1,0))+1,0)</f>
        <v>0</v>
      </c>
      <c r="D131" s="134" t="s">
        <v>342</v>
      </c>
      <c r="E131" s="135" t="s">
        <v>334</v>
      </c>
      <c r="F131" t="str">
        <f ca="1">IFERROR(VLOOKUP(ROW(Фильтр[[#This Row],[Фильтр]])-ROW(Фильтр[[#Headers],[Фильтр]]),Сооруж[],2,FALSE),"")</f>
        <v/>
      </c>
    </row>
    <row r="132" spans="3:6" ht="30" customHeight="1" x14ac:dyDescent="0.25">
      <c r="C132" s="135">
        <f ca="1">IF(ISNUMBER(SEARCH($J$4,Сооруж[[#This Row],[Сооружения]])),MAX(Сооруж[[#Headers],[Столбец1]]:OFFSET(Сооруж[[#This Row],[Столбец1]],-1,0))+1,0)</f>
        <v>0</v>
      </c>
      <c r="D132" s="135" t="s">
        <v>368</v>
      </c>
      <c r="E132" s="135" t="s">
        <v>334</v>
      </c>
      <c r="F132" t="str">
        <f ca="1">IFERROR(VLOOKUP(ROW(Фильтр[[#This Row],[Фильтр]])-ROW(Фильтр[[#Headers],[Фильтр]]),Сооруж[],2,FALSE),"")</f>
        <v/>
      </c>
    </row>
    <row r="133" spans="3:6" ht="30" customHeight="1" x14ac:dyDescent="0.25">
      <c r="C133" s="139">
        <f ca="1">IF(ISNUMBER(SEARCH($J$4,Сооруж[[#This Row],[Сооружения]])),MAX(Сооруж[[#Headers],[Столбец1]]:OFFSET(Сооруж[[#This Row],[Столбец1]],-1,0))+1,0)</f>
        <v>0</v>
      </c>
      <c r="D133" s="139" t="s">
        <v>369</v>
      </c>
      <c r="E133" s="135" t="s">
        <v>334</v>
      </c>
      <c r="F133" t="str">
        <f ca="1">IFERROR(VLOOKUP(ROW(Фильтр[[#This Row],[Фильтр]])-ROW(Фильтр[[#Headers],[Фильтр]]),Сооруж[],2,FALSE),"")</f>
        <v/>
      </c>
    </row>
    <row r="134" spans="3:6" ht="30" customHeight="1" x14ac:dyDescent="0.25">
      <c r="C134" s="139">
        <f ca="1">IF(ISNUMBER(SEARCH($J$4,Сооруж[[#This Row],[Сооружения]])),MAX(Сооруж[[#Headers],[Столбец1]]:OFFSET(Сооруж[[#This Row],[Столбец1]],-1,0))+1,0)</f>
        <v>0</v>
      </c>
      <c r="D134" s="139" t="s">
        <v>381</v>
      </c>
      <c r="E134" s="135" t="s">
        <v>334</v>
      </c>
      <c r="F134" t="str">
        <f ca="1">IFERROR(VLOOKUP(ROW(Фильтр[[#This Row],[Фильтр]])-ROW(Фильтр[[#Headers],[Фильтр]]),Сооруж[],2,FALSE),"")</f>
        <v/>
      </c>
    </row>
    <row r="135" spans="3:6" ht="30" customHeight="1" x14ac:dyDescent="0.25">
      <c r="C135" s="139">
        <f ca="1">IF(ISNUMBER(SEARCH($J$4,Сооруж[[#This Row],[Сооружения]])),MAX(Сооруж[[#Headers],[Столбец1]]:OFFSET(Сооруж[[#This Row],[Столбец1]],-1,0))+1,0)</f>
        <v>0</v>
      </c>
      <c r="D135" s="139" t="s">
        <v>371</v>
      </c>
      <c r="E135" s="135" t="s">
        <v>334</v>
      </c>
      <c r="F135" t="str">
        <f ca="1">IFERROR(VLOOKUP(ROW(Фильтр[[#This Row],[Фильтр]])-ROW(Фильтр[[#Headers],[Фильтр]]),Сооруж[],2,FALSE),"")</f>
        <v/>
      </c>
    </row>
    <row r="136" spans="3:6" ht="30" customHeight="1" x14ac:dyDescent="0.25">
      <c r="C136" s="139">
        <f ca="1">IF(ISNUMBER(SEARCH($J$4,Сооруж[[#This Row],[Сооружения]])),MAX(Сооруж[[#Headers],[Столбец1]]:OFFSET(Сооруж[[#This Row],[Столбец1]],-1,0))+1,0)</f>
        <v>0</v>
      </c>
      <c r="D136" s="139" t="s">
        <v>355</v>
      </c>
      <c r="E136" s="135" t="s">
        <v>352</v>
      </c>
      <c r="F136" t="str">
        <f ca="1">IFERROR(VLOOKUP(ROW(Фильтр[[#This Row],[Фильтр]])-ROW(Фильтр[[#Headers],[Фильтр]]),Сооруж[],2,FALSE),"")</f>
        <v/>
      </c>
    </row>
    <row r="137" spans="3:6" ht="30" customHeight="1" x14ac:dyDescent="0.25">
      <c r="C137" s="139">
        <f ca="1">IF(ISNUMBER(SEARCH($J$4,Сооруж[[#This Row],[Сооружения]])),MAX(Сооруж[[#Headers],[Столбец1]]:OFFSET(Сооруж[[#This Row],[Столбец1]],-1,0))+1,0)</f>
        <v>0</v>
      </c>
      <c r="D137" s="139" t="s">
        <v>354</v>
      </c>
      <c r="E137" s="135" t="s">
        <v>352</v>
      </c>
      <c r="F137" t="str">
        <f ca="1">IFERROR(VLOOKUP(ROW(Фильтр[[#This Row],[Фильтр]])-ROW(Фильтр[[#Headers],[Фильтр]]),Сооруж[],2,FALSE),"")</f>
        <v/>
      </c>
    </row>
    <row r="138" spans="3:6" ht="30" customHeight="1" x14ac:dyDescent="0.25">
      <c r="C138" s="161">
        <f ca="1">IF(ISNUMBER(SEARCH($J$4,Сооруж[[#This Row],[Сооружения]])),MAX(Сооруж[[#Headers],[Столбец1]]:OFFSET(Сооруж[[#This Row],[Столбец1]],-1,0))+1,0)</f>
        <v>0</v>
      </c>
      <c r="D138" s="161" t="s">
        <v>356</v>
      </c>
      <c r="E138" s="135" t="s">
        <v>352</v>
      </c>
      <c r="F138" t="str">
        <f ca="1">IFERROR(VLOOKUP(ROW(Фильтр[[#This Row],[Фильтр]])-ROW(Фильтр[[#Headers],[Фильтр]]),Сооруж[],2,FALSE),"")</f>
        <v/>
      </c>
    </row>
    <row r="139" spans="3:6" ht="30" customHeight="1" x14ac:dyDescent="0.25">
      <c r="C139" s="139">
        <f ca="1">IF(ISNUMBER(SEARCH($J$4,Сооруж[[#This Row],[Сооружения]])),MAX(Сооруж[[#Headers],[Столбец1]]:OFFSET(Сооруж[[#This Row],[Столбец1]],-1,0))+1,0)</f>
        <v>0</v>
      </c>
      <c r="D139" s="139" t="s">
        <v>357</v>
      </c>
      <c r="E139" s="135" t="s">
        <v>352</v>
      </c>
      <c r="F139" t="str">
        <f ca="1">IFERROR(VLOOKUP(ROW(Фильтр[[#This Row],[Фильтр]])-ROW(Фильтр[[#Headers],[Фильтр]]),Сооруж[],2,FALSE),"")</f>
        <v/>
      </c>
    </row>
    <row r="140" spans="3:6" ht="30" customHeight="1" x14ac:dyDescent="0.25">
      <c r="C140" s="139">
        <f ca="1">IF(ISNUMBER(SEARCH($J$4,Сооруж[[#This Row],[Сооружения]])),MAX(Сооруж[[#Headers],[Столбец1]]:OFFSET(Сооруж[[#This Row],[Столбец1]],-1,0))+1,0)</f>
        <v>0</v>
      </c>
      <c r="D140" s="139" t="s">
        <v>358</v>
      </c>
      <c r="E140" s="135" t="s">
        <v>352</v>
      </c>
      <c r="F140" t="str">
        <f ca="1">IFERROR(VLOOKUP(ROW(Фильтр[[#This Row],[Фильтр]])-ROW(Фильтр[[#Headers],[Фильтр]]),Сооруж[],2,FALSE),"")</f>
        <v/>
      </c>
    </row>
    <row r="141" spans="3:6" ht="30" customHeight="1" x14ac:dyDescent="0.25">
      <c r="C141" s="139">
        <f ca="1">IF(ISNUMBER(SEARCH($J$4,Сооруж[[#This Row],[Сооружения]])),MAX(Сооруж[[#Headers],[Столбец1]]:OFFSET(Сооруж[[#This Row],[Столбец1]],-1,0))+1,0)</f>
        <v>0</v>
      </c>
      <c r="D141" s="139" t="s">
        <v>359</v>
      </c>
      <c r="E141" s="135" t="s">
        <v>352</v>
      </c>
      <c r="F141" t="str">
        <f ca="1">IFERROR(VLOOKUP(ROW(Фильтр[[#This Row],[Фильтр]])-ROW(Фильтр[[#Headers],[Фильтр]]),Сооруж[],2,FALSE),"")</f>
        <v/>
      </c>
    </row>
    <row r="142" spans="3:6" ht="30" customHeight="1" x14ac:dyDescent="0.25">
      <c r="C142" s="139">
        <f ca="1">IF(ISNUMBER(SEARCH($J$4,Сооруж[[#This Row],[Сооружения]])),MAX(Сооруж[[#Headers],[Столбец1]]:OFFSET(Сооруж[[#This Row],[Столбец1]],-1,0))+1,0)</f>
        <v>0</v>
      </c>
      <c r="D142" s="139" t="s">
        <v>361</v>
      </c>
      <c r="E142" s="135" t="s">
        <v>352</v>
      </c>
      <c r="F142" t="str">
        <f ca="1">IFERROR(VLOOKUP(ROW(Фильтр[[#This Row],[Фильтр]])-ROW(Фильтр[[#Headers],[Фильтр]]),Сооруж[],2,FALSE),"")</f>
        <v/>
      </c>
    </row>
    <row r="143" spans="3:6" ht="30" customHeight="1" x14ac:dyDescent="0.25">
      <c r="C143" s="168">
        <f ca="1">IF(ISNUMBER(SEARCH($J$4,Сооруж[[#This Row],[Сооружения]])),MAX(Сооруж[[#Headers],[Столбец1]]:OFFSET(Сооруж[[#This Row],[Столбец1]],-1,0))+1,0)</f>
        <v>0</v>
      </c>
      <c r="D143" s="168" t="s">
        <v>392</v>
      </c>
      <c r="E143" s="132" t="s">
        <v>364</v>
      </c>
      <c r="F143" s="170" t="str">
        <f ca="1">IFERROR(VLOOKUP(ROW(Фильтр[[#This Row],[Фильтр]])-ROW(Фильтр[[#Headers],[Фильтр]]),Сооруж[],2,FALSE),"")</f>
        <v/>
      </c>
    </row>
    <row r="144" spans="3:6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</sheetData>
  <mergeCells count="3">
    <mergeCell ref="J5:K5"/>
    <mergeCell ref="J9:K9"/>
    <mergeCell ref="J6:K7"/>
  </mergeCells>
  <dataValidations count="2">
    <dataValidation type="list" allowBlank="1" showInputMessage="1" sqref="J4" xr:uid="{00000000-0002-0000-0300-000000000000}">
      <formula1>INDIRECT("Фильтр[Фильтр]")</formula1>
    </dataValidation>
    <dataValidation type="list" allowBlank="1" showInputMessage="1" showErrorMessage="1" sqref="L4" xr:uid="{00000000-0002-0000-0300-000001000000}">
      <formula1>$D$2:$D$143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T34"/>
  <sheetViews>
    <sheetView topLeftCell="A12" workbookViewId="0">
      <selection activeCell="G19" sqref="G19:I19"/>
    </sheetView>
  </sheetViews>
  <sheetFormatPr defaultRowHeight="15" x14ac:dyDescent="0.25"/>
  <cols>
    <col min="1" max="1" width="39.85546875" customWidth="1"/>
    <col min="2" max="2" width="14" customWidth="1"/>
    <col min="3" max="3" width="12.5703125" customWidth="1"/>
    <col min="4" max="4" width="33.42578125" customWidth="1"/>
    <col min="5" max="5" width="26.85546875" customWidth="1"/>
    <col min="6" max="6" width="14.140625" customWidth="1"/>
    <col min="7" max="7" width="44.140625" customWidth="1"/>
    <col min="8" max="8" width="15.140625" customWidth="1"/>
    <col min="9" max="9" width="12.42578125" customWidth="1"/>
    <col min="10" max="10" width="43.28515625" customWidth="1"/>
    <col min="11" max="11" width="14.7109375" customWidth="1"/>
    <col min="12" max="12" width="20.85546875" customWidth="1"/>
    <col min="13" max="13" width="48.85546875" customWidth="1"/>
    <col min="14" max="14" width="23.42578125" customWidth="1"/>
    <col min="15" max="15" width="14.42578125" customWidth="1"/>
    <col min="16" max="16" width="42.85546875" customWidth="1"/>
    <col min="17" max="17" width="20.85546875" customWidth="1"/>
    <col min="18" max="18" width="14.85546875" customWidth="1"/>
    <col min="19" max="19" width="39.5703125" customWidth="1"/>
    <col min="20" max="20" width="24.28515625" customWidth="1"/>
    <col min="21" max="21" width="11.85546875" bestFit="1" customWidth="1"/>
    <col min="22" max="22" width="45.42578125" customWidth="1"/>
    <col min="23" max="23" width="27.5703125" customWidth="1"/>
    <col min="24" max="24" width="11.85546875" bestFit="1" customWidth="1"/>
    <col min="25" max="25" width="43.85546875" customWidth="1"/>
    <col min="26" max="26" width="21" customWidth="1"/>
    <col min="27" max="27" width="11.85546875" bestFit="1" customWidth="1"/>
    <col min="28" max="28" width="40.7109375" customWidth="1"/>
    <col min="29" max="29" width="34.7109375" customWidth="1"/>
    <col min="30" max="30" width="18.85546875" customWidth="1"/>
    <col min="31" max="31" width="40.5703125" customWidth="1"/>
    <col min="32" max="32" width="45.7109375" customWidth="1"/>
    <col min="33" max="33" width="24.85546875" customWidth="1"/>
    <col min="34" max="34" width="16.42578125" customWidth="1"/>
    <col min="35" max="35" width="36.7109375" customWidth="1"/>
    <col min="36" max="36" width="17.5703125" customWidth="1"/>
    <col min="37" max="37" width="16.85546875" customWidth="1"/>
    <col min="38" max="38" width="46" customWidth="1"/>
    <col min="39" max="39" width="22.42578125" customWidth="1"/>
    <col min="40" max="40" width="20.28515625" customWidth="1"/>
    <col min="41" max="41" width="34.140625" customWidth="1"/>
    <col min="42" max="42" width="14.85546875" customWidth="1"/>
    <col min="44" max="44" width="37.5703125" customWidth="1"/>
  </cols>
  <sheetData>
    <row r="2" spans="1:46" ht="74.45" customHeight="1" x14ac:dyDescent="0.25">
      <c r="A2" s="132" t="s">
        <v>383</v>
      </c>
      <c r="B2" s="132"/>
      <c r="C2" s="133"/>
      <c r="D2" s="132" t="s">
        <v>284</v>
      </c>
      <c r="E2" s="132"/>
      <c r="F2" s="133"/>
      <c r="G2" s="132" t="s">
        <v>291</v>
      </c>
      <c r="H2" s="133"/>
      <c r="I2" s="133"/>
      <c r="J2" s="132" t="s">
        <v>285</v>
      </c>
      <c r="K2" s="133"/>
      <c r="L2" s="143"/>
      <c r="M2" s="132" t="s">
        <v>292</v>
      </c>
      <c r="N2" s="132"/>
      <c r="O2" s="143"/>
      <c r="P2" s="132" t="s">
        <v>286</v>
      </c>
      <c r="Q2" s="132"/>
      <c r="R2" s="133"/>
      <c r="S2" s="148" t="s">
        <v>287</v>
      </c>
      <c r="T2" s="132"/>
      <c r="U2" s="133"/>
      <c r="V2" s="134" t="s">
        <v>288</v>
      </c>
      <c r="W2" s="134"/>
      <c r="X2" s="133"/>
      <c r="Y2" s="132" t="s">
        <v>289</v>
      </c>
      <c r="Z2" s="132"/>
      <c r="AA2" s="133"/>
      <c r="AB2" s="132" t="s">
        <v>290</v>
      </c>
      <c r="AC2" s="133"/>
      <c r="AD2" s="132"/>
      <c r="AE2" s="155" t="s">
        <v>295</v>
      </c>
      <c r="AF2" s="132" t="s">
        <v>327</v>
      </c>
      <c r="AG2" s="132"/>
      <c r="AH2" s="132"/>
      <c r="AI2" s="135" t="s">
        <v>334</v>
      </c>
      <c r="AJ2" s="132"/>
      <c r="AK2" s="132"/>
      <c r="AL2" s="135" t="s">
        <v>352</v>
      </c>
      <c r="AM2" s="132"/>
      <c r="AN2" s="132"/>
      <c r="AO2" s="132" t="s">
        <v>364</v>
      </c>
      <c r="AP2" s="139"/>
      <c r="AQ2" s="156"/>
      <c r="AR2" s="132" t="s">
        <v>391</v>
      </c>
      <c r="AS2" s="139"/>
      <c r="AT2" s="139"/>
    </row>
    <row r="3" spans="1:46" ht="45.75" x14ac:dyDescent="0.3">
      <c r="A3" s="135" t="s">
        <v>134</v>
      </c>
      <c r="B3" s="133" t="s">
        <v>133</v>
      </c>
      <c r="C3" s="133" t="s">
        <v>132</v>
      </c>
      <c r="D3" s="135" t="s">
        <v>147</v>
      </c>
      <c r="E3" s="136" t="s">
        <v>142</v>
      </c>
      <c r="F3" s="137" t="s">
        <v>149</v>
      </c>
      <c r="G3" s="138" t="s">
        <v>209</v>
      </c>
      <c r="H3" s="139" t="s">
        <v>211</v>
      </c>
      <c r="I3" s="137" t="s">
        <v>210</v>
      </c>
      <c r="J3" s="146" t="s">
        <v>230</v>
      </c>
      <c r="K3" s="132" t="s">
        <v>330</v>
      </c>
      <c r="L3" s="147" t="s">
        <v>149</v>
      </c>
      <c r="M3" s="139" t="s">
        <v>233</v>
      </c>
      <c r="N3" s="138" t="s">
        <v>229</v>
      </c>
      <c r="O3" s="144" t="s">
        <v>228</v>
      </c>
      <c r="P3" s="132" t="s">
        <v>301</v>
      </c>
      <c r="Q3" s="138" t="s">
        <v>229</v>
      </c>
      <c r="R3" s="144" t="s">
        <v>228</v>
      </c>
      <c r="S3" s="141" t="s">
        <v>386</v>
      </c>
      <c r="T3" s="141" t="s">
        <v>240</v>
      </c>
      <c r="U3" s="141" t="s">
        <v>149</v>
      </c>
      <c r="V3" s="141" t="s">
        <v>247</v>
      </c>
      <c r="W3" s="141" t="s">
        <v>159</v>
      </c>
      <c r="X3" s="141" t="s">
        <v>254</v>
      </c>
      <c r="Y3" s="138" t="s">
        <v>261</v>
      </c>
      <c r="Z3" s="142" t="s">
        <v>267</v>
      </c>
      <c r="AA3" s="133" t="s">
        <v>268</v>
      </c>
      <c r="AB3" s="138" t="s">
        <v>262</v>
      </c>
      <c r="AC3" s="149" t="s">
        <v>278</v>
      </c>
      <c r="AD3" s="137" t="s">
        <v>279</v>
      </c>
      <c r="AE3" s="156" t="s">
        <v>296</v>
      </c>
      <c r="AF3" s="134" t="s">
        <v>302</v>
      </c>
      <c r="AG3" s="134" t="s">
        <v>159</v>
      </c>
      <c r="AH3" s="137" t="s">
        <v>303</v>
      </c>
      <c r="AI3" s="139" t="s">
        <v>335</v>
      </c>
      <c r="AJ3" s="132" t="s">
        <v>336</v>
      </c>
      <c r="AK3" s="159" t="s">
        <v>337</v>
      </c>
      <c r="AL3" s="139" t="s">
        <v>355</v>
      </c>
      <c r="AM3" s="139" t="s">
        <v>353</v>
      </c>
      <c r="AN3" s="139" t="s">
        <v>194</v>
      </c>
      <c r="AO3" s="141" t="s">
        <v>392</v>
      </c>
      <c r="AP3" s="141" t="s">
        <v>366</v>
      </c>
      <c r="AQ3" s="175" t="s">
        <v>367</v>
      </c>
      <c r="AR3" s="176"/>
      <c r="AS3" s="139"/>
      <c r="AT3" s="139"/>
    </row>
    <row r="4" spans="1:46" ht="45" x14ac:dyDescent="0.3">
      <c r="A4" s="135" t="s">
        <v>135</v>
      </c>
      <c r="B4" s="133"/>
      <c r="C4" s="133"/>
      <c r="D4" s="135" t="s">
        <v>148</v>
      </c>
      <c r="E4" s="136" t="s">
        <v>142</v>
      </c>
      <c r="F4" s="137" t="s">
        <v>149</v>
      </c>
      <c r="G4" s="138" t="s">
        <v>198</v>
      </c>
      <c r="H4" s="139" t="s">
        <v>212</v>
      </c>
      <c r="I4" s="137" t="s">
        <v>194</v>
      </c>
      <c r="J4" s="146" t="s">
        <v>231</v>
      </c>
      <c r="K4" s="139" t="s">
        <v>232</v>
      </c>
      <c r="L4" s="147" t="s">
        <v>190</v>
      </c>
      <c r="M4" s="139" t="s">
        <v>234</v>
      </c>
      <c r="N4" s="138" t="s">
        <v>229</v>
      </c>
      <c r="O4" s="144" t="s">
        <v>228</v>
      </c>
      <c r="P4" s="132" t="s">
        <v>385</v>
      </c>
      <c r="Q4" s="138" t="s">
        <v>229</v>
      </c>
      <c r="R4" s="144" t="s">
        <v>228</v>
      </c>
      <c r="S4" s="141" t="s">
        <v>387</v>
      </c>
      <c r="T4" s="141" t="s">
        <v>240</v>
      </c>
      <c r="U4" s="141" t="s">
        <v>149</v>
      </c>
      <c r="V4" s="141" t="s">
        <v>248</v>
      </c>
      <c r="W4" s="141" t="s">
        <v>159</v>
      </c>
      <c r="X4" s="141" t="s">
        <v>255</v>
      </c>
      <c r="Y4" s="138" t="s">
        <v>273</v>
      </c>
      <c r="Z4" s="142" t="s">
        <v>142</v>
      </c>
      <c r="AA4" s="140" t="s">
        <v>149</v>
      </c>
      <c r="AB4" s="138" t="s">
        <v>262</v>
      </c>
      <c r="AC4" s="149" t="s">
        <v>278</v>
      </c>
      <c r="AD4" s="137" t="s">
        <v>279</v>
      </c>
      <c r="AE4" s="156"/>
      <c r="AF4" s="134" t="s">
        <v>304</v>
      </c>
      <c r="AG4" s="134" t="s">
        <v>159</v>
      </c>
      <c r="AH4" s="137" t="s">
        <v>303</v>
      </c>
      <c r="AI4" s="139" t="s">
        <v>338</v>
      </c>
      <c r="AJ4" s="134" t="s">
        <v>193</v>
      </c>
      <c r="AK4" s="160" t="s">
        <v>194</v>
      </c>
      <c r="AL4" s="139" t="s">
        <v>354</v>
      </c>
      <c r="AM4" s="139" t="s">
        <v>353</v>
      </c>
      <c r="AN4" s="139" t="s">
        <v>194</v>
      </c>
      <c r="AR4" s="176"/>
      <c r="AS4" s="139"/>
      <c r="AT4" s="139"/>
    </row>
    <row r="5" spans="1:46" ht="45" x14ac:dyDescent="0.25">
      <c r="A5" s="134" t="s">
        <v>136</v>
      </c>
      <c r="B5" s="133" t="s">
        <v>133</v>
      </c>
      <c r="C5" s="143" t="s">
        <v>132</v>
      </c>
      <c r="D5" s="135" t="s">
        <v>145</v>
      </c>
      <c r="E5" s="135" t="s">
        <v>152</v>
      </c>
      <c r="F5" s="137" t="s">
        <v>132</v>
      </c>
      <c r="G5" s="138" t="s">
        <v>199</v>
      </c>
      <c r="H5" s="138" t="s">
        <v>212</v>
      </c>
      <c r="I5" s="140" t="s">
        <v>194</v>
      </c>
      <c r="M5" s="139" t="s">
        <v>235</v>
      </c>
      <c r="N5" s="138" t="s">
        <v>229</v>
      </c>
      <c r="O5" s="144" t="s">
        <v>228</v>
      </c>
      <c r="P5" s="135" t="s">
        <v>237</v>
      </c>
      <c r="Q5" s="138" t="s">
        <v>229</v>
      </c>
      <c r="R5" s="144" t="s">
        <v>228</v>
      </c>
      <c r="S5" s="141" t="s">
        <v>388</v>
      </c>
      <c r="T5" s="141" t="s">
        <v>240</v>
      </c>
      <c r="U5" s="141" t="s">
        <v>149</v>
      </c>
      <c r="V5" s="141" t="s">
        <v>249</v>
      </c>
      <c r="W5" s="141" t="s">
        <v>256</v>
      </c>
      <c r="X5" s="132" t="s">
        <v>257</v>
      </c>
      <c r="Y5" s="138" t="s">
        <v>269</v>
      </c>
      <c r="Z5" s="142" t="s">
        <v>159</v>
      </c>
      <c r="AA5" s="140" t="s">
        <v>270</v>
      </c>
      <c r="AB5" s="138" t="s">
        <v>263</v>
      </c>
      <c r="AC5" s="134" t="s">
        <v>280</v>
      </c>
      <c r="AD5" s="137" t="s">
        <v>281</v>
      </c>
      <c r="AF5" s="134" t="s">
        <v>305</v>
      </c>
      <c r="AG5" s="134" t="s">
        <v>159</v>
      </c>
      <c r="AH5" s="137" t="s">
        <v>303</v>
      </c>
      <c r="AI5" s="139" t="s">
        <v>339</v>
      </c>
      <c r="AJ5" s="134" t="s">
        <v>193</v>
      </c>
      <c r="AK5" s="160" t="s">
        <v>194</v>
      </c>
      <c r="AL5" s="161" t="s">
        <v>356</v>
      </c>
      <c r="AM5" s="139" t="s">
        <v>353</v>
      </c>
      <c r="AN5" s="139" t="s">
        <v>194</v>
      </c>
      <c r="AR5" s="139"/>
      <c r="AS5" s="139"/>
      <c r="AT5" s="139"/>
    </row>
    <row r="6" spans="1:46" ht="67.5" customHeight="1" x14ac:dyDescent="0.25">
      <c r="A6" s="135" t="s">
        <v>144</v>
      </c>
      <c r="B6" s="133" t="s">
        <v>133</v>
      </c>
      <c r="C6" s="143" t="s">
        <v>132</v>
      </c>
      <c r="D6" s="138" t="s">
        <v>150</v>
      </c>
      <c r="E6" s="135" t="s">
        <v>153</v>
      </c>
      <c r="F6" s="137" t="s">
        <v>132</v>
      </c>
      <c r="G6" s="138" t="s">
        <v>200</v>
      </c>
      <c r="H6" s="134" t="s">
        <v>211</v>
      </c>
      <c r="I6" s="137" t="s">
        <v>210</v>
      </c>
      <c r="M6" s="130"/>
      <c r="N6" s="130"/>
      <c r="P6" s="132" t="s">
        <v>238</v>
      </c>
      <c r="Q6" s="138" t="s">
        <v>229</v>
      </c>
      <c r="R6" s="144" t="s">
        <v>228</v>
      </c>
      <c r="S6" s="141" t="s">
        <v>241</v>
      </c>
      <c r="T6" s="141" t="s">
        <v>242</v>
      </c>
      <c r="U6" s="141" t="s">
        <v>243</v>
      </c>
      <c r="V6" s="141" t="s">
        <v>250</v>
      </c>
      <c r="W6" s="141" t="s">
        <v>159</v>
      </c>
      <c r="X6" s="141" t="s">
        <v>254</v>
      </c>
      <c r="Y6" s="138" t="s">
        <v>271</v>
      </c>
      <c r="Z6" s="142" t="s">
        <v>159</v>
      </c>
      <c r="AA6" s="140" t="s">
        <v>270</v>
      </c>
      <c r="AB6" s="138" t="s">
        <v>264</v>
      </c>
      <c r="AC6" s="134"/>
      <c r="AD6" s="137"/>
      <c r="AF6" s="134" t="s">
        <v>306</v>
      </c>
      <c r="AG6" s="134" t="s">
        <v>159</v>
      </c>
      <c r="AH6" s="137" t="s">
        <v>303</v>
      </c>
      <c r="AI6" s="134" t="s">
        <v>340</v>
      </c>
      <c r="AJ6" s="134" t="s">
        <v>133</v>
      </c>
      <c r="AK6" s="160" t="s">
        <v>341</v>
      </c>
      <c r="AL6" s="139" t="s">
        <v>357</v>
      </c>
      <c r="AM6" s="139" t="s">
        <v>353</v>
      </c>
      <c r="AN6" s="139" t="s">
        <v>194</v>
      </c>
      <c r="AR6" s="139"/>
      <c r="AS6" s="139"/>
      <c r="AT6" s="139"/>
    </row>
    <row r="7" spans="1:46" ht="30" x14ac:dyDescent="0.25">
      <c r="A7" s="135" t="s">
        <v>137</v>
      </c>
      <c r="B7" s="133" t="s">
        <v>133</v>
      </c>
      <c r="C7" s="144" t="s">
        <v>132</v>
      </c>
      <c r="D7" s="139" t="s">
        <v>151</v>
      </c>
      <c r="E7" s="138" t="s">
        <v>154</v>
      </c>
      <c r="F7" s="137" t="s">
        <v>132</v>
      </c>
      <c r="G7" s="138" t="s">
        <v>201</v>
      </c>
      <c r="H7" s="139" t="s">
        <v>213</v>
      </c>
      <c r="I7" s="137" t="s">
        <v>214</v>
      </c>
      <c r="P7" s="120"/>
      <c r="Q7" s="120"/>
      <c r="S7" s="141" t="s">
        <v>239</v>
      </c>
      <c r="T7" s="141" t="s">
        <v>246</v>
      </c>
      <c r="U7" s="139" t="s">
        <v>245</v>
      </c>
      <c r="V7" s="132" t="s">
        <v>258</v>
      </c>
      <c r="W7" s="141" t="s">
        <v>159</v>
      </c>
      <c r="X7" s="141" t="s">
        <v>254</v>
      </c>
      <c r="Y7" s="138" t="s">
        <v>272</v>
      </c>
      <c r="Z7" s="142" t="s">
        <v>159</v>
      </c>
      <c r="AA7" s="140" t="s">
        <v>270</v>
      </c>
      <c r="AB7" s="138" t="s">
        <v>265</v>
      </c>
      <c r="AC7" s="138" t="s">
        <v>159</v>
      </c>
      <c r="AD7" s="140" t="s">
        <v>160</v>
      </c>
      <c r="AF7" s="134" t="s">
        <v>307</v>
      </c>
      <c r="AG7" s="134" t="s">
        <v>159</v>
      </c>
      <c r="AH7" s="137" t="s">
        <v>303</v>
      </c>
      <c r="AI7" s="134" t="s">
        <v>342</v>
      </c>
      <c r="AJ7" s="134" t="s">
        <v>343</v>
      </c>
      <c r="AK7" s="160" t="s">
        <v>190</v>
      </c>
      <c r="AL7" s="139" t="s">
        <v>358</v>
      </c>
      <c r="AM7" s="139" t="s">
        <v>353</v>
      </c>
      <c r="AN7" s="139" t="s">
        <v>194</v>
      </c>
      <c r="AR7" s="139"/>
      <c r="AS7" s="139"/>
      <c r="AT7" s="139"/>
    </row>
    <row r="8" spans="1:46" ht="60" x14ac:dyDescent="0.25">
      <c r="A8" s="135" t="s">
        <v>138</v>
      </c>
      <c r="B8" s="133" t="s">
        <v>133</v>
      </c>
      <c r="C8" s="144" t="s">
        <v>132</v>
      </c>
      <c r="D8" s="135" t="s">
        <v>155</v>
      </c>
      <c r="E8" s="138" t="s">
        <v>158</v>
      </c>
      <c r="F8" s="137" t="s">
        <v>156</v>
      </c>
      <c r="G8" s="138" t="s">
        <v>215</v>
      </c>
      <c r="H8" s="138" t="s">
        <v>216</v>
      </c>
      <c r="I8" s="140" t="s">
        <v>217</v>
      </c>
      <c r="P8" s="130"/>
      <c r="Q8" s="130"/>
      <c r="S8" s="141" t="s">
        <v>233</v>
      </c>
      <c r="T8" s="139" t="s">
        <v>244</v>
      </c>
      <c r="U8" s="139" t="s">
        <v>245</v>
      </c>
      <c r="V8" s="141" t="s">
        <v>251</v>
      </c>
      <c r="W8" s="141" t="s">
        <v>259</v>
      </c>
      <c r="X8" s="141" t="s">
        <v>255</v>
      </c>
      <c r="Y8" s="138" t="s">
        <v>274</v>
      </c>
      <c r="Z8" s="142" t="s">
        <v>275</v>
      </c>
      <c r="AA8" s="140" t="s">
        <v>190</v>
      </c>
      <c r="AB8" s="138" t="s">
        <v>266</v>
      </c>
      <c r="AC8" s="135" t="s">
        <v>282</v>
      </c>
      <c r="AD8" s="133" t="s">
        <v>283</v>
      </c>
      <c r="AF8" s="134" t="s">
        <v>308</v>
      </c>
      <c r="AG8" s="134" t="s">
        <v>159</v>
      </c>
      <c r="AH8" s="137" t="s">
        <v>303</v>
      </c>
      <c r="AI8" s="135" t="s">
        <v>368</v>
      </c>
      <c r="AJ8" s="139" t="s">
        <v>60</v>
      </c>
      <c r="AK8" s="160" t="s">
        <v>190</v>
      </c>
      <c r="AL8" s="139" t="s">
        <v>359</v>
      </c>
      <c r="AM8" s="139" t="s">
        <v>360</v>
      </c>
      <c r="AN8" s="139" t="s">
        <v>149</v>
      </c>
      <c r="AR8" s="139"/>
      <c r="AS8" s="139"/>
      <c r="AT8" s="139"/>
    </row>
    <row r="9" spans="1:46" ht="30" x14ac:dyDescent="0.25">
      <c r="A9" s="135" t="s">
        <v>139</v>
      </c>
      <c r="B9" s="133" t="s">
        <v>133</v>
      </c>
      <c r="C9" s="144" t="s">
        <v>132</v>
      </c>
      <c r="D9" s="138" t="s">
        <v>157</v>
      </c>
      <c r="E9" s="138" t="s">
        <v>159</v>
      </c>
      <c r="F9" s="145" t="s">
        <v>162</v>
      </c>
      <c r="G9" s="138" t="s">
        <v>202</v>
      </c>
      <c r="H9" s="138" t="s">
        <v>193</v>
      </c>
      <c r="I9" s="140" t="s">
        <v>194</v>
      </c>
      <c r="V9" s="141" t="s">
        <v>252</v>
      </c>
      <c r="W9" s="141" t="s">
        <v>159</v>
      </c>
      <c r="X9" s="141" t="s">
        <v>254</v>
      </c>
      <c r="Y9" s="138" t="s">
        <v>276</v>
      </c>
      <c r="Z9" s="142" t="s">
        <v>193</v>
      </c>
      <c r="AA9" s="140" t="s">
        <v>277</v>
      </c>
      <c r="AB9" s="136" t="s">
        <v>362</v>
      </c>
      <c r="AC9" s="162" t="s">
        <v>363</v>
      </c>
      <c r="AD9" s="145" t="s">
        <v>190</v>
      </c>
      <c r="AF9" s="134" t="s">
        <v>309</v>
      </c>
      <c r="AG9" s="134" t="s">
        <v>159</v>
      </c>
      <c r="AH9" s="137" t="s">
        <v>303</v>
      </c>
      <c r="AI9" s="139" t="s">
        <v>369</v>
      </c>
      <c r="AJ9" s="163" t="s">
        <v>193</v>
      </c>
      <c r="AK9" s="145" t="s">
        <v>370</v>
      </c>
      <c r="AL9" s="139" t="s">
        <v>361</v>
      </c>
      <c r="AM9" s="139" t="s">
        <v>353</v>
      </c>
      <c r="AN9" s="139" t="s">
        <v>194</v>
      </c>
      <c r="AR9" s="139"/>
      <c r="AS9" s="139"/>
      <c r="AT9" s="139"/>
    </row>
    <row r="10" spans="1:46" ht="30" x14ac:dyDescent="0.25">
      <c r="A10" s="135" t="s">
        <v>140</v>
      </c>
      <c r="B10" s="133" t="s">
        <v>133</v>
      </c>
      <c r="C10" s="144" t="s">
        <v>132</v>
      </c>
      <c r="D10" s="139" t="s">
        <v>161</v>
      </c>
      <c r="E10" s="138" t="s">
        <v>159</v>
      </c>
      <c r="F10" s="145" t="s">
        <v>162</v>
      </c>
      <c r="G10" s="138" t="s">
        <v>218</v>
      </c>
      <c r="H10" s="138" t="s">
        <v>219</v>
      </c>
      <c r="I10" s="140" t="s">
        <v>210</v>
      </c>
      <c r="V10" s="141" t="s">
        <v>253</v>
      </c>
      <c r="W10" s="141" t="s">
        <v>159</v>
      </c>
      <c r="X10" s="158" t="s">
        <v>254</v>
      </c>
      <c r="Y10" s="138" t="s">
        <v>344</v>
      </c>
      <c r="Z10" s="132" t="s">
        <v>350</v>
      </c>
      <c r="AA10" s="132" t="s">
        <v>351</v>
      </c>
      <c r="AF10" s="134" t="s">
        <v>310</v>
      </c>
      <c r="AG10" s="134" t="s">
        <v>159</v>
      </c>
      <c r="AH10" s="137" t="s">
        <v>303</v>
      </c>
      <c r="AI10" s="139" t="s">
        <v>371</v>
      </c>
      <c r="AJ10" s="132" t="s">
        <v>372</v>
      </c>
      <c r="AK10" s="137" t="s">
        <v>190</v>
      </c>
    </row>
    <row r="11" spans="1:46" ht="45" x14ac:dyDescent="0.25">
      <c r="A11" s="135" t="s">
        <v>141</v>
      </c>
      <c r="B11" s="133" t="s">
        <v>133</v>
      </c>
      <c r="C11" s="144" t="s">
        <v>132</v>
      </c>
      <c r="D11" s="138" t="s">
        <v>163</v>
      </c>
      <c r="E11" s="138" t="s">
        <v>159</v>
      </c>
      <c r="F11" s="145" t="s">
        <v>162</v>
      </c>
      <c r="G11" s="138" t="s">
        <v>203</v>
      </c>
      <c r="H11" s="138" t="s">
        <v>220</v>
      </c>
      <c r="I11" s="140" t="s">
        <v>210</v>
      </c>
      <c r="V11" s="141" t="s">
        <v>260</v>
      </c>
      <c r="W11" s="141" t="s">
        <v>159</v>
      </c>
      <c r="X11" s="158" t="s">
        <v>255</v>
      </c>
      <c r="Y11" s="138" t="s">
        <v>345</v>
      </c>
      <c r="Z11" s="132" t="s">
        <v>350</v>
      </c>
      <c r="AA11" s="132" t="s">
        <v>351</v>
      </c>
      <c r="AF11" s="134" t="s">
        <v>311</v>
      </c>
      <c r="AG11" s="134" t="s">
        <v>159</v>
      </c>
      <c r="AH11" s="137" t="s">
        <v>303</v>
      </c>
      <c r="AI11" s="136" t="s">
        <v>381</v>
      </c>
      <c r="AJ11" s="137" t="s">
        <v>382</v>
      </c>
      <c r="AK11" s="137" t="s">
        <v>210</v>
      </c>
    </row>
    <row r="12" spans="1:46" ht="30" x14ac:dyDescent="0.25">
      <c r="A12" s="138" t="s">
        <v>143</v>
      </c>
      <c r="B12" s="133" t="s">
        <v>142</v>
      </c>
      <c r="C12" s="144" t="s">
        <v>132</v>
      </c>
      <c r="D12" s="138" t="s">
        <v>164</v>
      </c>
      <c r="E12" s="138" t="s">
        <v>159</v>
      </c>
      <c r="F12" s="145" t="s">
        <v>162</v>
      </c>
      <c r="G12" s="138" t="s">
        <v>204</v>
      </c>
      <c r="H12" s="138" t="s">
        <v>193</v>
      </c>
      <c r="I12" s="140" t="s">
        <v>194</v>
      </c>
      <c r="Y12" s="138" t="s">
        <v>346</v>
      </c>
      <c r="Z12" s="132" t="s">
        <v>350</v>
      </c>
      <c r="AA12" s="132" t="s">
        <v>351</v>
      </c>
      <c r="AF12" s="134" t="s">
        <v>312</v>
      </c>
      <c r="AG12" s="134" t="s">
        <v>159</v>
      </c>
      <c r="AH12" s="137" t="s">
        <v>303</v>
      </c>
      <c r="AI12" s="139"/>
      <c r="AJ12" s="139"/>
      <c r="AK12" s="139"/>
    </row>
    <row r="13" spans="1:46" ht="30" x14ac:dyDescent="0.25">
      <c r="A13" s="119"/>
      <c r="B13" s="120"/>
      <c r="C13" s="119"/>
      <c r="D13" s="138" t="s">
        <v>165</v>
      </c>
      <c r="E13" s="138" t="s">
        <v>166</v>
      </c>
      <c r="F13" s="145" t="s">
        <v>167</v>
      </c>
      <c r="G13" s="138" t="s">
        <v>221</v>
      </c>
      <c r="H13" s="138" t="s">
        <v>196</v>
      </c>
      <c r="I13" s="140" t="s">
        <v>222</v>
      </c>
      <c r="Y13" s="138" t="s">
        <v>347</v>
      </c>
      <c r="Z13" s="132" t="s">
        <v>350</v>
      </c>
      <c r="AA13" s="132" t="s">
        <v>351</v>
      </c>
      <c r="AF13" s="134" t="s">
        <v>313</v>
      </c>
      <c r="AG13" s="134" t="s">
        <v>159</v>
      </c>
      <c r="AH13" s="137" t="s">
        <v>303</v>
      </c>
    </row>
    <row r="14" spans="1:46" ht="60" x14ac:dyDescent="0.25">
      <c r="A14" s="119"/>
      <c r="B14" s="120"/>
      <c r="C14" s="119"/>
      <c r="D14" s="138" t="s">
        <v>168</v>
      </c>
      <c r="E14" s="138" t="s">
        <v>166</v>
      </c>
      <c r="F14" s="145" t="s">
        <v>167</v>
      </c>
      <c r="G14" s="138" t="s">
        <v>205</v>
      </c>
      <c r="H14" s="138" t="s">
        <v>159</v>
      </c>
      <c r="I14" s="140" t="s">
        <v>223</v>
      </c>
      <c r="Y14" s="138" t="s">
        <v>348</v>
      </c>
      <c r="Z14" s="132" t="s">
        <v>350</v>
      </c>
      <c r="AA14" s="132" t="s">
        <v>351</v>
      </c>
      <c r="AF14" s="134" t="s">
        <v>314</v>
      </c>
      <c r="AG14" s="134" t="s">
        <v>159</v>
      </c>
      <c r="AH14" s="137" t="s">
        <v>303</v>
      </c>
    </row>
    <row r="15" spans="1:46" ht="45" x14ac:dyDescent="0.25">
      <c r="A15" s="119"/>
      <c r="B15" s="119"/>
      <c r="C15" s="119"/>
      <c r="D15" s="135" t="s">
        <v>146</v>
      </c>
      <c r="E15" s="138" t="s">
        <v>169</v>
      </c>
      <c r="F15" s="145" t="s">
        <v>170</v>
      </c>
      <c r="G15" s="138" t="s">
        <v>206</v>
      </c>
      <c r="H15" s="134" t="s">
        <v>224</v>
      </c>
      <c r="I15" s="140" t="s">
        <v>225</v>
      </c>
      <c r="Y15" s="139" t="s">
        <v>349</v>
      </c>
      <c r="Z15" s="132" t="s">
        <v>350</v>
      </c>
      <c r="AA15" s="132" t="s">
        <v>351</v>
      </c>
      <c r="AF15" s="134" t="s">
        <v>315</v>
      </c>
      <c r="AG15" s="134" t="s">
        <v>159</v>
      </c>
      <c r="AH15" s="137" t="s">
        <v>303</v>
      </c>
    </row>
    <row r="16" spans="1:46" ht="30" x14ac:dyDescent="0.25">
      <c r="A16" s="117"/>
      <c r="B16" s="117"/>
      <c r="C16" s="117"/>
      <c r="D16" s="138" t="s">
        <v>171</v>
      </c>
      <c r="E16" s="138" t="s">
        <v>159</v>
      </c>
      <c r="F16" s="145" t="s">
        <v>162</v>
      </c>
      <c r="G16" s="138" t="s">
        <v>207</v>
      </c>
      <c r="H16" s="138" t="s">
        <v>226</v>
      </c>
      <c r="I16" s="140" t="s">
        <v>227</v>
      </c>
      <c r="AF16" s="134" t="s">
        <v>316</v>
      </c>
      <c r="AG16" s="134" t="s">
        <v>159</v>
      </c>
      <c r="AH16" s="137" t="s">
        <v>303</v>
      </c>
    </row>
    <row r="17" spans="1:34" ht="45" x14ac:dyDescent="0.25">
      <c r="D17" s="139" t="s">
        <v>172</v>
      </c>
      <c r="E17" s="138" t="s">
        <v>159</v>
      </c>
      <c r="F17" s="145" t="s">
        <v>162</v>
      </c>
      <c r="G17" s="138" t="s">
        <v>208</v>
      </c>
      <c r="H17" s="138" t="s">
        <v>229</v>
      </c>
      <c r="I17" s="140" t="s">
        <v>228</v>
      </c>
      <c r="AF17" s="134" t="s">
        <v>317</v>
      </c>
      <c r="AG17" s="134" t="s">
        <v>159</v>
      </c>
      <c r="AH17" s="137" t="s">
        <v>303</v>
      </c>
    </row>
    <row r="18" spans="1:34" ht="30" x14ac:dyDescent="0.25">
      <c r="D18" s="138" t="s">
        <v>173</v>
      </c>
      <c r="E18" s="138" t="s">
        <v>159</v>
      </c>
      <c r="F18" s="145" t="s">
        <v>174</v>
      </c>
      <c r="G18" s="177" t="s">
        <v>393</v>
      </c>
      <c r="H18" s="177" t="s">
        <v>394</v>
      </c>
      <c r="I18" s="178" t="s">
        <v>394</v>
      </c>
      <c r="AF18" s="134" t="s">
        <v>318</v>
      </c>
      <c r="AG18" s="134" t="s">
        <v>159</v>
      </c>
      <c r="AH18" s="137" t="s">
        <v>303</v>
      </c>
    </row>
    <row r="19" spans="1:34" ht="60" x14ac:dyDescent="0.25">
      <c r="A19" s="117" t="s">
        <v>327</v>
      </c>
      <c r="D19" s="132" t="s">
        <v>175</v>
      </c>
      <c r="E19" s="138" t="s">
        <v>159</v>
      </c>
      <c r="F19" s="145" t="s">
        <v>162</v>
      </c>
      <c r="G19" s="177" t="s">
        <v>396</v>
      </c>
      <c r="H19" s="177" t="s">
        <v>212</v>
      </c>
      <c r="I19" s="178" t="s">
        <v>194</v>
      </c>
      <c r="AF19" s="134" t="s">
        <v>319</v>
      </c>
      <c r="AG19" s="134" t="s">
        <v>159</v>
      </c>
      <c r="AH19" s="137" t="s">
        <v>303</v>
      </c>
    </row>
    <row r="20" spans="1:34" ht="30" x14ac:dyDescent="0.25">
      <c r="A20" s="120" t="s">
        <v>383</v>
      </c>
      <c r="D20" s="138" t="s">
        <v>176</v>
      </c>
      <c r="E20" s="138" t="s">
        <v>159</v>
      </c>
      <c r="F20" s="145" t="s">
        <v>162</v>
      </c>
      <c r="AF20" s="134" t="s">
        <v>320</v>
      </c>
      <c r="AG20" s="134" t="s">
        <v>159</v>
      </c>
      <c r="AH20" s="137" t="s">
        <v>303</v>
      </c>
    </row>
    <row r="21" spans="1:34" ht="30" x14ac:dyDescent="0.25">
      <c r="A21" s="120" t="s">
        <v>284</v>
      </c>
      <c r="D21" s="138" t="s">
        <v>177</v>
      </c>
      <c r="E21" s="138" t="s">
        <v>159</v>
      </c>
      <c r="F21" s="145" t="s">
        <v>162</v>
      </c>
      <c r="AF21" s="134" t="s">
        <v>321</v>
      </c>
      <c r="AG21" s="134" t="s">
        <v>159</v>
      </c>
      <c r="AH21" s="137" t="s">
        <v>303</v>
      </c>
    </row>
    <row r="22" spans="1:34" ht="30" x14ac:dyDescent="0.25">
      <c r="A22" s="117" t="s">
        <v>291</v>
      </c>
      <c r="D22" s="138" t="s">
        <v>178</v>
      </c>
      <c r="E22" s="138" t="s">
        <v>159</v>
      </c>
      <c r="F22" s="145" t="s">
        <v>162</v>
      </c>
      <c r="AF22" s="134" t="s">
        <v>322</v>
      </c>
      <c r="AG22" s="134" t="s">
        <v>159</v>
      </c>
      <c r="AH22" s="137" t="s">
        <v>303</v>
      </c>
    </row>
    <row r="23" spans="1:34" ht="30" x14ac:dyDescent="0.25">
      <c r="A23" s="117" t="s">
        <v>285</v>
      </c>
      <c r="D23" s="138" t="s">
        <v>179</v>
      </c>
      <c r="E23" s="138" t="s">
        <v>159</v>
      </c>
      <c r="F23" s="145" t="s">
        <v>162</v>
      </c>
      <c r="AF23" s="134" t="s">
        <v>323</v>
      </c>
      <c r="AG23" s="134" t="s">
        <v>159</v>
      </c>
      <c r="AH23" s="137" t="s">
        <v>303</v>
      </c>
    </row>
    <row r="24" spans="1:34" ht="30" x14ac:dyDescent="0.25">
      <c r="A24" s="117" t="s">
        <v>292</v>
      </c>
      <c r="D24" s="138" t="s">
        <v>180</v>
      </c>
      <c r="E24" s="138" t="s">
        <v>159</v>
      </c>
      <c r="F24" s="145" t="s">
        <v>162</v>
      </c>
      <c r="AF24" s="134" t="s">
        <v>324</v>
      </c>
      <c r="AG24" s="134" t="s">
        <v>159</v>
      </c>
      <c r="AH24" s="137" t="s">
        <v>303</v>
      </c>
    </row>
    <row r="25" spans="1:34" ht="30" x14ac:dyDescent="0.25">
      <c r="A25" s="117" t="s">
        <v>286</v>
      </c>
      <c r="D25" s="138" t="s">
        <v>181</v>
      </c>
      <c r="E25" s="138" t="s">
        <v>159</v>
      </c>
      <c r="F25" s="145" t="s">
        <v>162</v>
      </c>
      <c r="AF25" s="135" t="s">
        <v>325</v>
      </c>
      <c r="AG25" s="134" t="s">
        <v>159</v>
      </c>
      <c r="AH25" s="137" t="s">
        <v>303</v>
      </c>
    </row>
    <row r="26" spans="1:34" ht="30" x14ac:dyDescent="0.25">
      <c r="A26" s="117" t="s">
        <v>287</v>
      </c>
      <c r="D26" s="138" t="s">
        <v>182</v>
      </c>
      <c r="E26" s="138" t="s">
        <v>142</v>
      </c>
      <c r="F26" s="145" t="s">
        <v>149</v>
      </c>
      <c r="AF26" s="134" t="s">
        <v>326</v>
      </c>
      <c r="AG26" s="134" t="s">
        <v>159</v>
      </c>
      <c r="AH26" s="137" t="s">
        <v>303</v>
      </c>
    </row>
    <row r="27" spans="1:34" x14ac:dyDescent="0.25">
      <c r="A27" s="118" t="s">
        <v>288</v>
      </c>
      <c r="D27" s="138" t="s">
        <v>183</v>
      </c>
      <c r="E27" s="138" t="s">
        <v>159</v>
      </c>
      <c r="F27" s="145" t="s">
        <v>184</v>
      </c>
    </row>
    <row r="28" spans="1:34" ht="45" x14ac:dyDescent="0.25">
      <c r="A28" s="117" t="s">
        <v>289</v>
      </c>
      <c r="D28" s="138" t="s">
        <v>185</v>
      </c>
      <c r="E28" s="138" t="s">
        <v>187</v>
      </c>
      <c r="F28" s="145" t="s">
        <v>186</v>
      </c>
    </row>
    <row r="29" spans="1:34" ht="45" x14ac:dyDescent="0.25">
      <c r="A29" s="117" t="s">
        <v>290</v>
      </c>
      <c r="D29" s="138" t="s">
        <v>188</v>
      </c>
      <c r="E29" s="138" t="s">
        <v>189</v>
      </c>
      <c r="F29" s="145" t="s">
        <v>190</v>
      </c>
    </row>
    <row r="30" spans="1:34" ht="45" x14ac:dyDescent="0.25">
      <c r="A30" s="117" t="s">
        <v>334</v>
      </c>
      <c r="D30" s="138" t="s">
        <v>191</v>
      </c>
      <c r="E30" s="138" t="s">
        <v>159</v>
      </c>
      <c r="F30" s="145" t="s">
        <v>160</v>
      </c>
    </row>
    <row r="31" spans="1:34" ht="45" x14ac:dyDescent="0.25">
      <c r="A31" s="117" t="s">
        <v>352</v>
      </c>
      <c r="D31" s="138" t="s">
        <v>192</v>
      </c>
      <c r="E31" s="138" t="s">
        <v>193</v>
      </c>
      <c r="F31" s="145" t="s">
        <v>194</v>
      </c>
    </row>
    <row r="32" spans="1:34" ht="45" x14ac:dyDescent="0.25">
      <c r="A32" s="117" t="s">
        <v>364</v>
      </c>
      <c r="D32" s="135" t="s">
        <v>195</v>
      </c>
      <c r="E32" s="134" t="s">
        <v>196</v>
      </c>
      <c r="F32" s="145" t="s">
        <v>197</v>
      </c>
    </row>
    <row r="33" spans="1:4" x14ac:dyDescent="0.25">
      <c r="A33" s="117" t="s">
        <v>295</v>
      </c>
      <c r="D33" s="127"/>
    </row>
    <row r="34" spans="1:4" x14ac:dyDescent="0.25">
      <c r="D34" s="127"/>
    </row>
  </sheetData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3"/>
  <dimension ref="A1:I28"/>
  <sheetViews>
    <sheetView view="pageBreakPreview" zoomScaleNormal="100" zoomScaleSheetLayoutView="100" workbookViewId="0">
      <selection activeCell="D17" sqref="D17:G17"/>
    </sheetView>
  </sheetViews>
  <sheetFormatPr defaultRowHeight="15" x14ac:dyDescent="0.25"/>
  <cols>
    <col min="1" max="1" width="3.7109375" customWidth="1"/>
    <col min="2" max="2" width="14.28515625" customWidth="1"/>
    <col min="3" max="3" width="7.7109375" customWidth="1"/>
    <col min="4" max="4" width="11.85546875" customWidth="1"/>
    <col min="5" max="5" width="6.85546875" customWidth="1"/>
    <col min="6" max="6" width="6.140625" customWidth="1"/>
    <col min="7" max="7" width="5.28515625" customWidth="1"/>
    <col min="8" max="8" width="12.7109375" customWidth="1"/>
    <col min="9" max="9" width="21.140625" customWidth="1"/>
  </cols>
  <sheetData>
    <row r="1" spans="1:9" ht="15.75" customHeight="1" x14ac:dyDescent="0.25">
      <c r="A1" s="11"/>
      <c r="B1" s="12"/>
      <c r="C1" s="13"/>
      <c r="D1" s="11"/>
      <c r="E1" s="11"/>
      <c r="F1" s="11"/>
      <c r="G1" s="14"/>
      <c r="H1" s="11"/>
      <c r="I1" s="14" t="s">
        <v>32</v>
      </c>
    </row>
    <row r="2" spans="1:9" ht="15.75" customHeight="1" x14ac:dyDescent="0.25">
      <c r="A2" s="11"/>
      <c r="B2" s="11"/>
      <c r="C2" s="11"/>
      <c r="D2" s="11"/>
      <c r="E2" s="11"/>
      <c r="F2" s="11"/>
      <c r="G2" s="14"/>
      <c r="H2" s="11"/>
      <c r="I2" s="14"/>
    </row>
    <row r="3" spans="1:9" ht="15.75" customHeight="1" x14ac:dyDescent="0.25">
      <c r="A3" s="235" t="s">
        <v>33</v>
      </c>
      <c r="B3" s="235"/>
      <c r="C3" s="235"/>
      <c r="D3" s="235"/>
      <c r="E3" s="235"/>
      <c r="F3" s="235"/>
      <c r="G3" s="235"/>
      <c r="H3" s="235"/>
      <c r="I3" s="235"/>
    </row>
    <row r="4" spans="1:9" ht="15.75" customHeight="1" x14ac:dyDescent="0.25">
      <c r="A4" s="236" t="s">
        <v>34</v>
      </c>
      <c r="B4" s="237"/>
      <c r="C4" s="237"/>
      <c r="D4" s="237"/>
      <c r="E4" s="237"/>
      <c r="F4" s="237"/>
      <c r="G4" s="237"/>
      <c r="H4" s="237"/>
      <c r="I4" s="237"/>
    </row>
    <row r="5" spans="1:9" ht="15.75" customHeight="1" x14ac:dyDescent="0.25">
      <c r="A5" s="11"/>
      <c r="B5" s="11"/>
      <c r="C5" s="11"/>
      <c r="D5" s="11"/>
      <c r="E5" s="11"/>
      <c r="F5" s="11"/>
      <c r="G5" s="14"/>
      <c r="H5" s="11"/>
      <c r="I5" s="14"/>
    </row>
    <row r="6" spans="1:9" ht="15.75" customHeight="1" x14ac:dyDescent="0.25">
      <c r="A6" s="11"/>
      <c r="B6" s="15" t="s">
        <v>35</v>
      </c>
      <c r="C6" s="11"/>
      <c r="D6" s="16"/>
      <c r="E6" s="11"/>
      <c r="F6" s="238"/>
      <c r="G6" s="238"/>
      <c r="H6" s="238"/>
      <c r="I6" s="238"/>
    </row>
    <row r="7" spans="1:9" ht="15.75" customHeight="1" x14ac:dyDescent="0.25">
      <c r="A7" s="11"/>
      <c r="B7" s="17" t="s">
        <v>36</v>
      </c>
      <c r="C7" s="11"/>
      <c r="D7" s="11"/>
      <c r="E7" s="11"/>
      <c r="F7" s="238"/>
      <c r="G7" s="238"/>
      <c r="H7" s="238"/>
      <c r="I7" s="238"/>
    </row>
    <row r="8" spans="1:9" ht="15.75" customHeight="1" x14ac:dyDescent="0.25">
      <c r="A8" s="11"/>
      <c r="B8" s="11"/>
      <c r="C8" s="11"/>
      <c r="D8" s="11"/>
      <c r="E8" s="11"/>
      <c r="F8" s="18"/>
      <c r="G8" s="19"/>
      <c r="H8" s="11"/>
      <c r="I8" s="14"/>
    </row>
    <row r="9" spans="1:9" ht="15.75" customHeight="1" x14ac:dyDescent="0.25">
      <c r="A9" s="11"/>
      <c r="B9" s="11"/>
      <c r="C9" s="11"/>
      <c r="D9" s="11"/>
      <c r="E9" s="11"/>
      <c r="F9" s="18"/>
      <c r="G9" s="19"/>
      <c r="H9" s="11"/>
      <c r="I9" s="14"/>
    </row>
    <row r="10" spans="1:9" ht="15.75" customHeight="1" x14ac:dyDescent="0.25">
      <c r="A10" s="11"/>
      <c r="B10" s="20" t="s">
        <v>37</v>
      </c>
      <c r="C10" s="11"/>
      <c r="D10" s="11"/>
      <c r="E10" s="11"/>
      <c r="F10" s="18"/>
      <c r="G10" s="19"/>
      <c r="H10" s="11"/>
      <c r="I10" s="14"/>
    </row>
    <row r="11" spans="1:9" ht="15.75" customHeight="1" x14ac:dyDescent="0.25">
      <c r="A11" s="11"/>
      <c r="B11" s="20" t="s">
        <v>38</v>
      </c>
      <c r="C11" s="11"/>
      <c r="D11" s="11"/>
      <c r="E11" s="21"/>
      <c r="F11" s="18"/>
      <c r="G11" s="22"/>
      <c r="H11" s="21"/>
      <c r="I11" s="22"/>
    </row>
    <row r="12" spans="1:9" ht="15.75" customHeight="1" x14ac:dyDescent="0.25">
      <c r="A12" s="11"/>
      <c r="B12" s="20"/>
      <c r="C12" s="11"/>
      <c r="D12" s="11"/>
      <c r="E12" s="21"/>
      <c r="F12" s="18"/>
      <c r="G12" s="22"/>
      <c r="H12" s="21"/>
      <c r="I12" s="22"/>
    </row>
    <row r="13" spans="1:9" ht="15.75" customHeight="1" x14ac:dyDescent="0.25">
      <c r="A13" s="11"/>
      <c r="B13" s="23" t="s">
        <v>39</v>
      </c>
      <c r="C13" s="11"/>
      <c r="D13" s="11"/>
      <c r="E13" s="11"/>
      <c r="F13" s="21"/>
      <c r="G13" s="22"/>
      <c r="H13" s="21"/>
      <c r="I13" s="22"/>
    </row>
    <row r="14" spans="1:9" ht="15.75" customHeight="1" x14ac:dyDescent="0.25">
      <c r="A14" s="11"/>
      <c r="B14" s="23" t="s">
        <v>40</v>
      </c>
      <c r="C14" s="11"/>
      <c r="D14" s="11"/>
      <c r="E14" s="11"/>
      <c r="F14" s="24"/>
      <c r="G14" s="22"/>
      <c r="H14" s="21"/>
      <c r="I14" s="22"/>
    </row>
    <row r="15" spans="1:9" ht="15.75" customHeight="1" x14ac:dyDescent="0.25">
      <c r="A15" s="25"/>
      <c r="B15" s="15"/>
      <c r="C15" s="25"/>
      <c r="D15" s="25"/>
      <c r="E15" s="25"/>
      <c r="F15" s="25"/>
      <c r="G15" s="26"/>
      <c r="H15" s="25"/>
      <c r="I15" s="25"/>
    </row>
    <row r="16" spans="1:9" ht="12.2" customHeight="1" x14ac:dyDescent="0.25">
      <c r="A16" s="27"/>
      <c r="B16" s="27" t="s">
        <v>41</v>
      </c>
      <c r="C16" s="11"/>
      <c r="D16" s="11"/>
      <c r="E16" s="11"/>
      <c r="F16" s="11"/>
      <c r="G16" s="27"/>
      <c r="H16" s="14"/>
      <c r="I16" s="14"/>
    </row>
    <row r="17" spans="1:9" ht="112.5" customHeight="1" x14ac:dyDescent="0.25">
      <c r="A17" s="94" t="s">
        <v>111</v>
      </c>
      <c r="B17" s="244" t="s">
        <v>112</v>
      </c>
      <c r="C17" s="245"/>
      <c r="D17" s="244" t="s">
        <v>113</v>
      </c>
      <c r="E17" s="246"/>
      <c r="F17" s="246"/>
      <c r="G17" s="245"/>
      <c r="H17" s="95" t="s">
        <v>114</v>
      </c>
      <c r="I17" s="94" t="s">
        <v>115</v>
      </c>
    </row>
    <row r="18" spans="1:9" x14ac:dyDescent="0.25">
      <c r="A18" s="96" t="s">
        <v>63</v>
      </c>
      <c r="B18" s="247">
        <v>2</v>
      </c>
      <c r="C18" s="248"/>
      <c r="D18" s="247">
        <v>3</v>
      </c>
      <c r="E18" s="249"/>
      <c r="F18" s="249"/>
      <c r="G18" s="248"/>
      <c r="H18" s="97">
        <v>4</v>
      </c>
      <c r="I18" s="97">
        <v>5</v>
      </c>
    </row>
    <row r="19" spans="1:9" x14ac:dyDescent="0.25">
      <c r="A19" s="93"/>
      <c r="B19" s="250"/>
      <c r="C19" s="250"/>
      <c r="D19" s="251"/>
      <c r="E19" s="251"/>
      <c r="F19" s="251"/>
      <c r="G19" s="251"/>
      <c r="H19" s="98"/>
      <c r="I19" s="99"/>
    </row>
    <row r="20" spans="1:9" ht="18.75" customHeight="1" x14ac:dyDescent="0.25">
      <c r="A20" s="93"/>
      <c r="B20" s="239" t="s">
        <v>110</v>
      </c>
      <c r="C20" s="240"/>
      <c r="D20" s="241"/>
      <c r="E20" s="242"/>
      <c r="F20" s="242"/>
      <c r="G20" s="242"/>
      <c r="H20" s="242"/>
      <c r="I20" s="243"/>
    </row>
    <row r="21" spans="1:9" ht="15" customHeight="1" x14ac:dyDescent="0.25">
      <c r="A21" s="28"/>
      <c r="B21" s="29"/>
      <c r="C21" s="30"/>
      <c r="D21" s="31"/>
      <c r="E21" s="31"/>
      <c r="F21" s="31"/>
      <c r="G21" s="32"/>
      <c r="H21" s="31"/>
      <c r="I21" s="33"/>
    </row>
    <row r="22" spans="1:9" ht="15" customHeight="1" x14ac:dyDescent="0.25">
      <c r="B22" s="34" t="s">
        <v>43</v>
      </c>
      <c r="C22" s="35"/>
      <c r="D22" s="35"/>
      <c r="E22" s="35"/>
      <c r="F22" s="35"/>
      <c r="G22" s="36"/>
      <c r="H22" s="37"/>
      <c r="I22" s="38"/>
    </row>
    <row r="23" spans="1:9" ht="15" customHeight="1" x14ac:dyDescent="0.25">
      <c r="B23" s="39"/>
      <c r="C23" s="35"/>
      <c r="D23" s="35"/>
      <c r="E23" s="35"/>
      <c r="F23" s="35"/>
      <c r="G23" s="36"/>
      <c r="H23" s="37"/>
      <c r="I23" s="38"/>
    </row>
    <row r="24" spans="1:9" ht="15" customHeight="1" x14ac:dyDescent="0.25">
      <c r="B24" s="34" t="s">
        <v>44</v>
      </c>
      <c r="C24" s="40"/>
      <c r="D24" s="40"/>
      <c r="E24" s="40"/>
      <c r="F24" s="40"/>
      <c r="G24" s="11"/>
      <c r="H24" s="37"/>
      <c r="I24" s="41"/>
    </row>
    <row r="25" spans="1:9" ht="15" customHeight="1" x14ac:dyDescent="0.25">
      <c r="B25" s="34"/>
      <c r="C25" s="40"/>
      <c r="D25" s="40"/>
      <c r="E25" s="40"/>
      <c r="F25" s="40"/>
      <c r="G25" s="11"/>
      <c r="H25" s="37"/>
      <c r="I25" s="41"/>
    </row>
    <row r="26" spans="1:9" ht="15" customHeight="1" x14ac:dyDescent="0.25">
      <c r="B26" s="34" t="s">
        <v>45</v>
      </c>
      <c r="C26" s="40"/>
      <c r="D26" s="40"/>
      <c r="E26" s="40"/>
      <c r="F26" s="40"/>
      <c r="G26" s="11"/>
      <c r="H26" s="37"/>
      <c r="I26" s="41"/>
    </row>
    <row r="27" spans="1:9" ht="15" customHeight="1" x14ac:dyDescent="0.25">
      <c r="B27" s="34"/>
      <c r="C27" s="40"/>
      <c r="D27" s="40"/>
      <c r="E27" s="40"/>
      <c r="F27" s="40"/>
      <c r="G27" s="11"/>
      <c r="H27" s="37"/>
      <c r="I27" s="41"/>
    </row>
    <row r="28" spans="1:9" ht="15" customHeight="1" x14ac:dyDescent="0.25">
      <c r="B28" s="25"/>
      <c r="C28" s="25"/>
      <c r="D28" s="25"/>
      <c r="E28" s="25"/>
      <c r="F28" s="25"/>
      <c r="G28" s="25"/>
      <c r="H28" s="25"/>
      <c r="I28" s="25"/>
    </row>
  </sheetData>
  <mergeCells count="11">
    <mergeCell ref="A3:I3"/>
    <mergeCell ref="A4:I4"/>
    <mergeCell ref="F6:I7"/>
    <mergeCell ref="B20:C20"/>
    <mergeCell ref="D20:I20"/>
    <mergeCell ref="B17:C17"/>
    <mergeCell ref="D17:G17"/>
    <mergeCell ref="B18:C18"/>
    <mergeCell ref="D18:G18"/>
    <mergeCell ref="B19:C19"/>
    <mergeCell ref="D19:G19"/>
  </mergeCells>
  <pageMargins left="0.19685039370078741" right="0.19685039370078741" top="0.19685039370078741" bottom="0.19685039370078741" header="0" footer="0"/>
  <pageSetup paperSize="9" scale="9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74"/>
  <sheetViews>
    <sheetView tabSelected="1" view="pageBreakPreview" zoomScaleNormal="100" zoomScaleSheetLayoutView="100" workbookViewId="0">
      <selection activeCell="B7" sqref="B7:G7"/>
    </sheetView>
  </sheetViews>
  <sheetFormatPr defaultColWidth="9.140625" defaultRowHeight="15.75" x14ac:dyDescent="0.25"/>
  <cols>
    <col min="1" max="1" width="4.7109375" style="42" customWidth="1"/>
    <col min="2" max="2" width="31" style="43" customWidth="1"/>
    <col min="3" max="3" width="35.140625" style="43" bestFit="1" customWidth="1"/>
    <col min="4" max="5" width="7.7109375" style="43" customWidth="1"/>
    <col min="6" max="6" width="13.28515625" style="43" customWidth="1"/>
    <col min="7" max="7" width="12.7109375" style="43" customWidth="1"/>
    <col min="8" max="8" width="13" style="43" customWidth="1"/>
    <col min="9" max="9" width="12.85546875" style="45" customWidth="1"/>
    <col min="10" max="11" width="13.7109375" style="45" bestFit="1" customWidth="1"/>
    <col min="12" max="12" width="11.28515625" style="45" customWidth="1"/>
    <col min="13" max="13" width="20" style="43" customWidth="1"/>
    <col min="14" max="16384" width="9.140625" style="43"/>
  </cols>
  <sheetData>
    <row r="1" spans="1:13" s="45" customFormat="1" ht="14.25" customHeight="1" x14ac:dyDescent="0.25">
      <c r="A1" s="42"/>
      <c r="B1" s="43"/>
      <c r="C1" s="43"/>
      <c r="D1" s="43"/>
      <c r="E1" s="43"/>
      <c r="F1" s="43"/>
      <c r="G1" s="43"/>
      <c r="H1" s="44" t="s">
        <v>46</v>
      </c>
      <c r="M1" s="43"/>
    </row>
    <row r="2" spans="1:13" s="45" customFormat="1" ht="14.25" customHeight="1" x14ac:dyDescent="0.25">
      <c r="A2" s="42"/>
      <c r="B2" s="43"/>
      <c r="C2" s="43"/>
      <c r="D2" s="43"/>
      <c r="E2" s="43"/>
      <c r="F2" s="43"/>
      <c r="G2" s="43"/>
      <c r="H2" s="44" t="s">
        <v>47</v>
      </c>
      <c r="M2" s="43"/>
    </row>
    <row r="3" spans="1:13" s="45" customFormat="1" ht="14.25" customHeight="1" x14ac:dyDescent="0.25">
      <c r="A3" s="42"/>
      <c r="B3" s="43"/>
      <c r="C3" s="43"/>
      <c r="D3" s="43"/>
      <c r="E3" s="43"/>
      <c r="F3" s="43"/>
      <c r="G3" s="43"/>
      <c r="H3" s="44" t="s">
        <v>48</v>
      </c>
      <c r="M3" s="43"/>
    </row>
    <row r="4" spans="1:13" s="45" customFormat="1" ht="19.5" customHeight="1" x14ac:dyDescent="0.25">
      <c r="A4" s="42"/>
      <c r="B4" s="43"/>
      <c r="C4" s="44" t="s">
        <v>49</v>
      </c>
      <c r="D4" s="43"/>
      <c r="E4" s="43"/>
      <c r="F4" s="43"/>
      <c r="G4" s="43"/>
      <c r="H4" s="44"/>
      <c r="M4" s="43"/>
    </row>
    <row r="5" spans="1:13" s="45" customFormat="1" ht="19.5" customHeight="1" x14ac:dyDescent="0.25">
      <c r="A5" s="42"/>
      <c r="B5" s="43"/>
      <c r="C5" s="44"/>
      <c r="D5" s="46"/>
      <c r="E5" s="43"/>
      <c r="F5" s="43"/>
      <c r="G5" s="43"/>
      <c r="H5" s="44"/>
      <c r="M5" s="43"/>
    </row>
    <row r="6" spans="1:13" s="45" customFormat="1" ht="19.5" customHeight="1" x14ac:dyDescent="0.25">
      <c r="A6" s="42"/>
      <c r="B6" s="43" t="s">
        <v>50</v>
      </c>
      <c r="C6" s="44"/>
      <c r="D6" s="46"/>
      <c r="E6" s="43"/>
      <c r="F6" s="43"/>
      <c r="G6" s="43"/>
      <c r="H6" s="44"/>
      <c r="M6" s="43"/>
    </row>
    <row r="7" spans="1:13" s="45" customFormat="1" ht="39.75" customHeight="1" x14ac:dyDescent="0.25">
      <c r="A7" s="47"/>
      <c r="B7" s="283" t="s">
        <v>414</v>
      </c>
      <c r="C7" s="283"/>
      <c r="D7" s="283"/>
      <c r="E7" s="283"/>
      <c r="F7" s="283"/>
      <c r="G7" s="283"/>
      <c r="H7" s="43"/>
      <c r="M7" s="43"/>
    </row>
    <row r="8" spans="1:13" s="45" customFormat="1" ht="19.5" customHeight="1" x14ac:dyDescent="0.25">
      <c r="A8" s="47"/>
      <c r="B8" s="48"/>
      <c r="C8" s="47"/>
      <c r="D8" s="47"/>
      <c r="E8" s="47"/>
      <c r="F8" s="47"/>
      <c r="G8" s="47"/>
      <c r="H8" s="43"/>
      <c r="M8" s="43"/>
    </row>
    <row r="9" spans="1:13" s="45" customFormat="1" ht="19.5" customHeight="1" x14ac:dyDescent="0.25">
      <c r="A9" s="47"/>
      <c r="B9" s="47" t="s">
        <v>120</v>
      </c>
      <c r="C9" s="47" t="s">
        <v>119</v>
      </c>
      <c r="D9" s="47"/>
      <c r="E9" s="47"/>
      <c r="F9" s="47"/>
      <c r="G9" s="47"/>
      <c r="H9" s="43"/>
      <c r="M9" s="43"/>
    </row>
    <row r="10" spans="1:13" s="45" customFormat="1" ht="19.5" customHeight="1" x14ac:dyDescent="0.25">
      <c r="A10" s="47"/>
      <c r="B10" s="47"/>
      <c r="C10" s="47"/>
      <c r="D10" s="47"/>
      <c r="E10" s="47"/>
      <c r="F10" s="47"/>
      <c r="G10" s="47"/>
      <c r="H10" s="43"/>
      <c r="M10" s="43"/>
    </row>
    <row r="11" spans="1:13" s="45" customFormat="1" ht="19.5" customHeight="1" x14ac:dyDescent="0.25">
      <c r="A11" s="47"/>
      <c r="B11" s="47" t="s">
        <v>51</v>
      </c>
      <c r="C11" s="47"/>
      <c r="D11" s="47"/>
      <c r="E11" s="47"/>
      <c r="F11" s="47"/>
      <c r="G11" s="47"/>
      <c r="H11" s="43"/>
      <c r="M11" s="43"/>
    </row>
    <row r="12" spans="1:13" s="45" customFormat="1" ht="19.5" customHeight="1" x14ac:dyDescent="0.25">
      <c r="A12" s="43"/>
      <c r="B12" s="49"/>
      <c r="C12" s="43"/>
      <c r="D12" s="43"/>
      <c r="E12" s="43"/>
      <c r="F12" s="43"/>
      <c r="G12" s="43"/>
      <c r="H12" s="43"/>
      <c r="M12" s="43"/>
    </row>
    <row r="13" spans="1:13" s="45" customFormat="1" ht="19.5" customHeight="1" x14ac:dyDescent="0.25">
      <c r="A13" s="43"/>
      <c r="B13" s="47" t="s">
        <v>52</v>
      </c>
      <c r="C13" s="43"/>
      <c r="D13" s="43"/>
      <c r="E13" s="43"/>
      <c r="F13" s="43"/>
      <c r="G13" s="43"/>
      <c r="H13" s="43"/>
      <c r="M13" s="43"/>
    </row>
    <row r="14" spans="1:13" s="45" customFormat="1" ht="19.5" customHeight="1" x14ac:dyDescent="0.25">
      <c r="A14" s="43"/>
      <c r="B14" s="50"/>
      <c r="C14" s="43"/>
      <c r="D14" s="43"/>
      <c r="E14" s="43"/>
      <c r="F14" s="43"/>
      <c r="G14" s="43"/>
      <c r="H14" s="43"/>
      <c r="M14" s="43"/>
    </row>
    <row r="15" spans="1:13" s="45" customFormat="1" ht="19.5" customHeight="1" x14ac:dyDescent="0.25">
      <c r="A15" s="43"/>
      <c r="B15" s="50"/>
      <c r="C15" s="43"/>
      <c r="D15" s="43"/>
      <c r="E15" s="43"/>
      <c r="F15" s="43"/>
      <c r="G15" s="43"/>
      <c r="H15" s="43"/>
      <c r="M15" s="43"/>
    </row>
    <row r="16" spans="1:13" s="45" customFormat="1" ht="19.5" customHeight="1" x14ac:dyDescent="0.25">
      <c r="A16" s="43"/>
      <c r="B16" s="43" t="s">
        <v>53</v>
      </c>
      <c r="C16" s="43"/>
      <c r="D16" s="43"/>
      <c r="E16" s="43"/>
      <c r="F16" s="43"/>
      <c r="G16" s="43"/>
      <c r="H16" s="43"/>
      <c r="M16" s="43"/>
    </row>
    <row r="17" spans="1:13" s="45" customFormat="1" ht="19.5" customHeight="1" x14ac:dyDescent="0.25">
      <c r="A17" s="43"/>
      <c r="B17" s="50"/>
      <c r="C17" s="43"/>
      <c r="D17" s="43"/>
      <c r="E17" s="43"/>
      <c r="F17" s="43"/>
      <c r="G17" s="43"/>
      <c r="H17" s="43"/>
      <c r="M17" s="43"/>
    </row>
    <row r="18" spans="1:13" s="52" customFormat="1" ht="22.7" customHeight="1" x14ac:dyDescent="0.25">
      <c r="A18" s="252" t="s">
        <v>54</v>
      </c>
      <c r="B18" s="255" t="s">
        <v>14</v>
      </c>
      <c r="C18" s="258" t="s">
        <v>55</v>
      </c>
      <c r="D18" s="258"/>
      <c r="E18" s="258"/>
      <c r="F18" s="259" t="s">
        <v>56</v>
      </c>
      <c r="G18" s="259" t="s">
        <v>57</v>
      </c>
      <c r="H18" s="259" t="s">
        <v>58</v>
      </c>
      <c r="I18" s="51"/>
      <c r="J18" s="51"/>
      <c r="K18" s="51"/>
      <c r="L18" s="51"/>
    </row>
    <row r="19" spans="1:13" s="52" customFormat="1" ht="22.7" customHeight="1" x14ac:dyDescent="0.25">
      <c r="A19" s="253"/>
      <c r="B19" s="256"/>
      <c r="C19" s="260" t="s">
        <v>59</v>
      </c>
      <c r="D19" s="258" t="s">
        <v>60</v>
      </c>
      <c r="E19" s="258"/>
      <c r="F19" s="258"/>
      <c r="G19" s="259"/>
      <c r="H19" s="259"/>
      <c r="I19" s="51"/>
      <c r="J19" s="51"/>
      <c r="K19" s="51"/>
      <c r="L19" s="51"/>
    </row>
    <row r="20" spans="1:13" s="52" customFormat="1" ht="22.7" customHeight="1" x14ac:dyDescent="0.25">
      <c r="A20" s="254"/>
      <c r="B20" s="257"/>
      <c r="C20" s="261"/>
      <c r="D20" s="153" t="s">
        <v>61</v>
      </c>
      <c r="E20" s="153" t="s">
        <v>62</v>
      </c>
      <c r="F20" s="258"/>
      <c r="G20" s="259"/>
      <c r="H20" s="259"/>
      <c r="I20" s="51"/>
      <c r="J20" s="51"/>
      <c r="K20" s="51"/>
      <c r="L20" s="51"/>
    </row>
    <row r="21" spans="1:13" x14ac:dyDescent="0.25">
      <c r="A21" s="53">
        <v>1</v>
      </c>
      <c r="B21" s="54">
        <v>2</v>
      </c>
      <c r="C21" s="54">
        <v>3</v>
      </c>
      <c r="D21" s="54">
        <v>4</v>
      </c>
      <c r="E21" s="54">
        <v>5</v>
      </c>
      <c r="F21" s="54">
        <v>6</v>
      </c>
      <c r="G21" s="54">
        <v>7</v>
      </c>
      <c r="H21" s="54">
        <v>8</v>
      </c>
    </row>
    <row r="22" spans="1:13" ht="30.75" customHeight="1" x14ac:dyDescent="0.25">
      <c r="A22" s="262" t="s">
        <v>329</v>
      </c>
      <c r="B22" s="263"/>
      <c r="C22" s="263"/>
      <c r="D22" s="263"/>
      <c r="E22" s="263"/>
      <c r="F22" s="263"/>
      <c r="G22" s="263"/>
      <c r="H22" s="264"/>
    </row>
    <row r="23" spans="1:13" x14ac:dyDescent="0.25">
      <c r="A23" s="265" t="s">
        <v>63</v>
      </c>
      <c r="B23" s="268" t="s">
        <v>328</v>
      </c>
      <c r="C23" s="55" t="s">
        <v>64</v>
      </c>
      <c r="D23" s="56">
        <v>1</v>
      </c>
      <c r="E23" s="57"/>
      <c r="F23" s="58">
        <f t="shared" ref="F23:F38" si="0">E23*D23</f>
        <v>0</v>
      </c>
      <c r="G23" s="59"/>
      <c r="H23" s="59">
        <f t="shared" ref="H23:H38" si="1">F23*G23</f>
        <v>0</v>
      </c>
    </row>
    <row r="24" spans="1:13" x14ac:dyDescent="0.25">
      <c r="A24" s="266"/>
      <c r="B24" s="269"/>
      <c r="C24" s="55" t="s">
        <v>65</v>
      </c>
      <c r="D24" s="56">
        <v>1</v>
      </c>
      <c r="E24" s="57"/>
      <c r="F24" s="58">
        <f t="shared" si="0"/>
        <v>0</v>
      </c>
      <c r="G24" s="59"/>
      <c r="H24" s="59">
        <f t="shared" si="1"/>
        <v>0</v>
      </c>
    </row>
    <row r="25" spans="1:13" x14ac:dyDescent="0.25">
      <c r="A25" s="266"/>
      <c r="B25" s="269"/>
      <c r="C25" s="55" t="s">
        <v>66</v>
      </c>
      <c r="D25" s="56">
        <v>1</v>
      </c>
      <c r="E25" s="57"/>
      <c r="F25" s="58">
        <f t="shared" si="0"/>
        <v>0</v>
      </c>
      <c r="G25" s="59"/>
      <c r="H25" s="59">
        <f t="shared" si="1"/>
        <v>0</v>
      </c>
    </row>
    <row r="26" spans="1:13" s="45" customFormat="1" x14ac:dyDescent="0.25">
      <c r="A26" s="266"/>
      <c r="B26" s="269"/>
      <c r="C26" s="55" t="s">
        <v>67</v>
      </c>
      <c r="D26" s="56">
        <v>1</v>
      </c>
      <c r="E26" s="57"/>
      <c r="F26" s="58">
        <f t="shared" si="0"/>
        <v>0</v>
      </c>
      <c r="G26" s="59"/>
      <c r="H26" s="59">
        <f t="shared" si="1"/>
        <v>0</v>
      </c>
      <c r="I26" s="270"/>
      <c r="J26" s="60"/>
      <c r="M26" s="43"/>
    </row>
    <row r="27" spans="1:13" s="45" customFormat="1" x14ac:dyDescent="0.25">
      <c r="A27" s="266"/>
      <c r="B27" s="269"/>
      <c r="C27" s="55" t="s">
        <v>68</v>
      </c>
      <c r="D27" s="56">
        <v>1</v>
      </c>
      <c r="E27" s="57"/>
      <c r="F27" s="58">
        <f t="shared" si="0"/>
        <v>0</v>
      </c>
      <c r="G27" s="59"/>
      <c r="H27" s="59">
        <f t="shared" si="1"/>
        <v>0</v>
      </c>
      <c r="I27" s="270"/>
      <c r="J27" s="60"/>
      <c r="M27" s="43"/>
    </row>
    <row r="28" spans="1:13" s="45" customFormat="1" x14ac:dyDescent="0.25">
      <c r="A28" s="266"/>
      <c r="B28" s="269"/>
      <c r="C28" s="55" t="s">
        <v>69</v>
      </c>
      <c r="D28" s="56">
        <v>1</v>
      </c>
      <c r="E28" s="57"/>
      <c r="F28" s="58">
        <f t="shared" si="0"/>
        <v>0</v>
      </c>
      <c r="G28" s="59"/>
      <c r="H28" s="59">
        <f t="shared" si="1"/>
        <v>0</v>
      </c>
      <c r="I28" s="270"/>
      <c r="J28" s="60"/>
      <c r="M28" s="43"/>
    </row>
    <row r="29" spans="1:13" s="45" customFormat="1" x14ac:dyDescent="0.25">
      <c r="A29" s="266"/>
      <c r="B29" s="269"/>
      <c r="C29" s="55" t="s">
        <v>70</v>
      </c>
      <c r="D29" s="56">
        <v>1</v>
      </c>
      <c r="E29" s="57"/>
      <c r="F29" s="58">
        <f t="shared" si="0"/>
        <v>0</v>
      </c>
      <c r="G29" s="59"/>
      <c r="H29" s="59">
        <f t="shared" si="1"/>
        <v>0</v>
      </c>
      <c r="I29" s="270"/>
      <c r="J29" s="60"/>
      <c r="M29" s="43"/>
    </row>
    <row r="30" spans="1:13" s="45" customFormat="1" x14ac:dyDescent="0.25">
      <c r="A30" s="267"/>
      <c r="B30" s="269"/>
      <c r="C30" s="55" t="s">
        <v>71</v>
      </c>
      <c r="D30" s="56">
        <v>1</v>
      </c>
      <c r="E30" s="57"/>
      <c r="F30" s="58">
        <f t="shared" si="0"/>
        <v>0</v>
      </c>
      <c r="G30" s="59"/>
      <c r="H30" s="59">
        <f t="shared" si="1"/>
        <v>0</v>
      </c>
      <c r="I30" s="270"/>
      <c r="J30" s="60"/>
      <c r="M30" s="43"/>
    </row>
    <row r="31" spans="1:13" x14ac:dyDescent="0.25">
      <c r="A31" s="265" t="s">
        <v>63</v>
      </c>
      <c r="B31" s="268" t="s">
        <v>328</v>
      </c>
      <c r="C31" s="55" t="s">
        <v>64</v>
      </c>
      <c r="D31" s="56">
        <v>1</v>
      </c>
      <c r="E31" s="57"/>
      <c r="F31" s="58">
        <f t="shared" si="0"/>
        <v>0</v>
      </c>
      <c r="G31" s="59"/>
      <c r="H31" s="59">
        <f t="shared" si="1"/>
        <v>0</v>
      </c>
    </row>
    <row r="32" spans="1:13" x14ac:dyDescent="0.25">
      <c r="A32" s="266"/>
      <c r="B32" s="269"/>
      <c r="C32" s="55" t="s">
        <v>65</v>
      </c>
      <c r="D32" s="56">
        <v>1</v>
      </c>
      <c r="E32" s="57"/>
      <c r="F32" s="58">
        <f t="shared" si="0"/>
        <v>0</v>
      </c>
      <c r="G32" s="59"/>
      <c r="H32" s="59">
        <f t="shared" si="1"/>
        <v>0</v>
      </c>
    </row>
    <row r="33" spans="1:13" x14ac:dyDescent="0.25">
      <c r="A33" s="266"/>
      <c r="B33" s="269"/>
      <c r="C33" s="55" t="s">
        <v>66</v>
      </c>
      <c r="D33" s="56">
        <v>1</v>
      </c>
      <c r="E33" s="57"/>
      <c r="F33" s="58">
        <f t="shared" si="0"/>
        <v>0</v>
      </c>
      <c r="G33" s="59"/>
      <c r="H33" s="59">
        <f t="shared" si="1"/>
        <v>0</v>
      </c>
    </row>
    <row r="34" spans="1:13" s="45" customFormat="1" x14ac:dyDescent="0.25">
      <c r="A34" s="266"/>
      <c r="B34" s="269"/>
      <c r="C34" s="55" t="s">
        <v>67</v>
      </c>
      <c r="D34" s="56">
        <v>1</v>
      </c>
      <c r="E34" s="57"/>
      <c r="F34" s="58">
        <f t="shared" si="0"/>
        <v>0</v>
      </c>
      <c r="G34" s="59"/>
      <c r="H34" s="59">
        <f t="shared" si="1"/>
        <v>0</v>
      </c>
      <c r="I34" s="270"/>
      <c r="J34" s="60"/>
      <c r="M34" s="43"/>
    </row>
    <row r="35" spans="1:13" s="45" customFormat="1" x14ac:dyDescent="0.25">
      <c r="A35" s="266"/>
      <c r="B35" s="269"/>
      <c r="C35" s="55" t="s">
        <v>68</v>
      </c>
      <c r="D35" s="56">
        <v>1</v>
      </c>
      <c r="E35" s="57"/>
      <c r="F35" s="58">
        <f t="shared" si="0"/>
        <v>0</v>
      </c>
      <c r="G35" s="59"/>
      <c r="H35" s="59">
        <f t="shared" si="1"/>
        <v>0</v>
      </c>
      <c r="I35" s="270"/>
      <c r="J35" s="60"/>
      <c r="M35" s="43"/>
    </row>
    <row r="36" spans="1:13" s="45" customFormat="1" x14ac:dyDescent="0.25">
      <c r="A36" s="266"/>
      <c r="B36" s="269"/>
      <c r="C36" s="55" t="s">
        <v>69</v>
      </c>
      <c r="D36" s="56">
        <v>1</v>
      </c>
      <c r="E36" s="57"/>
      <c r="F36" s="58">
        <f t="shared" si="0"/>
        <v>0</v>
      </c>
      <c r="G36" s="59"/>
      <c r="H36" s="59">
        <f t="shared" si="1"/>
        <v>0</v>
      </c>
      <c r="I36" s="270"/>
      <c r="J36" s="60"/>
      <c r="M36" s="43"/>
    </row>
    <row r="37" spans="1:13" s="45" customFormat="1" x14ac:dyDescent="0.25">
      <c r="A37" s="266"/>
      <c r="B37" s="269"/>
      <c r="C37" s="55" t="s">
        <v>70</v>
      </c>
      <c r="D37" s="56">
        <v>1</v>
      </c>
      <c r="E37" s="57"/>
      <c r="F37" s="58">
        <f t="shared" si="0"/>
        <v>0</v>
      </c>
      <c r="G37" s="59"/>
      <c r="H37" s="59">
        <f t="shared" si="1"/>
        <v>0</v>
      </c>
      <c r="I37" s="270"/>
      <c r="J37" s="60"/>
      <c r="M37" s="43"/>
    </row>
    <row r="38" spans="1:13" s="45" customFormat="1" x14ac:dyDescent="0.25">
      <c r="A38" s="267"/>
      <c r="B38" s="269"/>
      <c r="C38" s="55" t="s">
        <v>71</v>
      </c>
      <c r="D38" s="56">
        <v>1</v>
      </c>
      <c r="E38" s="57"/>
      <c r="F38" s="58">
        <f t="shared" si="0"/>
        <v>0</v>
      </c>
      <c r="G38" s="59"/>
      <c r="H38" s="59">
        <f t="shared" si="1"/>
        <v>0</v>
      </c>
      <c r="I38" s="270"/>
      <c r="J38" s="60"/>
      <c r="M38" s="43"/>
    </row>
    <row r="39" spans="1:13" ht="26.45" customHeight="1" x14ac:dyDescent="0.25">
      <c r="A39" s="61"/>
      <c r="B39" s="273" t="s">
        <v>72</v>
      </c>
      <c r="C39" s="273"/>
      <c r="D39" s="62"/>
      <c r="E39" s="62"/>
      <c r="F39" s="62"/>
      <c r="G39" s="62"/>
      <c r="H39" s="63">
        <f>SUM(H31:H38)</f>
        <v>0</v>
      </c>
    </row>
    <row r="40" spans="1:13" ht="24" customHeight="1" x14ac:dyDescent="0.25">
      <c r="B40" s="274" t="s">
        <v>73</v>
      </c>
      <c r="C40" s="274"/>
      <c r="D40" s="274"/>
      <c r="E40" s="274"/>
      <c r="F40" s="274"/>
      <c r="G40" s="274"/>
      <c r="H40" s="274"/>
    </row>
    <row r="41" spans="1:13" ht="31.5" x14ac:dyDescent="0.25">
      <c r="A41" s="64" t="s">
        <v>54</v>
      </c>
      <c r="B41" s="275" t="s">
        <v>74</v>
      </c>
      <c r="C41" s="276"/>
      <c r="D41" s="276"/>
      <c r="E41" s="276"/>
      <c r="F41" s="277"/>
      <c r="G41" s="65" t="s">
        <v>75</v>
      </c>
      <c r="H41" s="152" t="s">
        <v>76</v>
      </c>
    </row>
    <row r="42" spans="1:13" x14ac:dyDescent="0.25">
      <c r="A42" s="66">
        <v>1</v>
      </c>
      <c r="B42" s="278">
        <v>2</v>
      </c>
      <c r="C42" s="279"/>
      <c r="D42" s="279"/>
      <c r="E42" s="279"/>
      <c r="F42" s="280"/>
      <c r="G42" s="151">
        <v>3</v>
      </c>
      <c r="H42" s="58">
        <v>4</v>
      </c>
    </row>
    <row r="43" spans="1:13" x14ac:dyDescent="0.25">
      <c r="A43" s="67" t="s">
        <v>77</v>
      </c>
      <c r="B43" s="281" t="s">
        <v>78</v>
      </c>
      <c r="C43" s="272"/>
      <c r="D43" s="272"/>
      <c r="E43" s="272"/>
      <c r="F43" s="282"/>
      <c r="G43" s="68" t="s">
        <v>42</v>
      </c>
      <c r="H43" s="69">
        <f>H39</f>
        <v>0</v>
      </c>
      <c r="M43" s="70"/>
    </row>
    <row r="44" spans="1:13" s="45" customFormat="1" ht="22.7" customHeight="1" x14ac:dyDescent="0.25">
      <c r="A44" s="67" t="s">
        <v>408</v>
      </c>
      <c r="B44" s="271" t="s">
        <v>411</v>
      </c>
      <c r="C44" s="271"/>
      <c r="D44" s="271"/>
      <c r="E44" s="271"/>
      <c r="F44" s="271"/>
      <c r="G44" s="91" t="s">
        <v>42</v>
      </c>
      <c r="H44" s="92">
        <f>H43</f>
        <v>0</v>
      </c>
      <c r="I44" s="270"/>
      <c r="M44" s="43"/>
    </row>
    <row r="45" spans="1:13" s="45" customFormat="1" ht="22.7" customHeight="1" x14ac:dyDescent="0.25">
      <c r="A45" s="67" t="s">
        <v>409</v>
      </c>
      <c r="B45" s="272" t="s">
        <v>79</v>
      </c>
      <c r="C45" s="272"/>
      <c r="D45" s="272"/>
      <c r="E45" s="272"/>
      <c r="F45" s="272"/>
      <c r="G45" s="68" t="s">
        <v>42</v>
      </c>
      <c r="H45" s="71">
        <f>H44*0.2</f>
        <v>0</v>
      </c>
      <c r="I45" s="270"/>
      <c r="M45" s="43"/>
    </row>
    <row r="46" spans="1:13" s="45" customFormat="1" ht="22.7" customHeight="1" x14ac:dyDescent="0.25">
      <c r="A46" s="67" t="s">
        <v>410</v>
      </c>
      <c r="B46" s="272" t="s">
        <v>45</v>
      </c>
      <c r="C46" s="272"/>
      <c r="D46" s="272"/>
      <c r="E46" s="272"/>
      <c r="F46" s="272"/>
      <c r="G46" s="68" t="s">
        <v>42</v>
      </c>
      <c r="H46" s="71">
        <f>H44+H45</f>
        <v>0</v>
      </c>
      <c r="I46" s="270"/>
      <c r="M46" s="43"/>
    </row>
    <row r="47" spans="1:13" s="45" customFormat="1" ht="22.7" customHeight="1" x14ac:dyDescent="0.25">
      <c r="A47" s="72"/>
      <c r="B47" s="73" t="s">
        <v>384</v>
      </c>
      <c r="C47" s="73"/>
      <c r="D47" s="73"/>
      <c r="E47" s="73"/>
      <c r="F47" s="73"/>
      <c r="G47" s="74" t="s">
        <v>42</v>
      </c>
      <c r="H47" s="75" t="e">
        <f>H39/SUM(F23:F38)/8</f>
        <v>#DIV/0!</v>
      </c>
      <c r="I47" s="270"/>
      <c r="M47" s="43"/>
    </row>
    <row r="48" spans="1:13" s="45" customFormat="1" ht="22.7" customHeight="1" x14ac:dyDescent="0.25">
      <c r="A48" s="72"/>
      <c r="B48" s="76" t="s">
        <v>80</v>
      </c>
      <c r="C48" s="73"/>
      <c r="D48" s="73"/>
      <c r="E48" s="73"/>
      <c r="F48" s="73"/>
      <c r="G48" s="74"/>
      <c r="H48" s="75"/>
      <c r="I48" s="270"/>
      <c r="M48" s="43"/>
    </row>
    <row r="49" spans="1:13" s="45" customFormat="1" x14ac:dyDescent="0.25">
      <c r="A49" s="42"/>
      <c r="B49" s="43"/>
      <c r="C49" s="43"/>
      <c r="D49" s="46"/>
      <c r="E49" s="46"/>
      <c r="F49" s="43"/>
      <c r="G49" s="43"/>
      <c r="H49" s="43"/>
      <c r="I49" s="270"/>
      <c r="M49" s="43"/>
    </row>
    <row r="50" spans="1:13" s="45" customFormat="1" ht="34.5" customHeight="1" x14ac:dyDescent="0.25">
      <c r="A50" s="42"/>
      <c r="B50" s="43"/>
      <c r="C50" s="43"/>
      <c r="D50" s="43"/>
      <c r="E50" s="43"/>
      <c r="F50" s="43"/>
      <c r="G50" s="43"/>
      <c r="H50" s="43"/>
      <c r="I50" s="270"/>
      <c r="M50" s="43"/>
    </row>
    <row r="51" spans="1:13" s="45" customFormat="1" x14ac:dyDescent="0.25">
      <c r="A51" s="42"/>
      <c r="B51" s="43" t="s">
        <v>81</v>
      </c>
      <c r="C51" s="43"/>
      <c r="D51" s="46"/>
      <c r="E51" s="46"/>
      <c r="F51" s="43"/>
      <c r="G51" s="43"/>
      <c r="H51" s="43"/>
      <c r="I51" s="150"/>
      <c r="M51" s="43"/>
    </row>
    <row r="52" spans="1:13" s="45" customFormat="1" x14ac:dyDescent="0.25">
      <c r="A52" s="42"/>
      <c r="B52" s="43"/>
      <c r="C52" s="43"/>
      <c r="D52" s="43"/>
      <c r="E52" s="43"/>
      <c r="F52" s="43"/>
      <c r="G52" s="43"/>
      <c r="H52" s="43"/>
      <c r="M52" s="43"/>
    </row>
    <row r="53" spans="1:13" s="45" customFormat="1" x14ac:dyDescent="0.25">
      <c r="A53" s="42"/>
      <c r="B53" s="43"/>
      <c r="C53" s="43"/>
      <c r="D53" s="43"/>
      <c r="E53" s="43"/>
      <c r="F53" s="43"/>
      <c r="G53" s="43"/>
      <c r="H53" s="77"/>
      <c r="M53" s="43"/>
    </row>
    <row r="54" spans="1:13" s="45" customFormat="1" x14ac:dyDescent="0.25">
      <c r="A54" s="42"/>
      <c r="B54" s="43"/>
      <c r="C54" s="43"/>
      <c r="D54" s="43"/>
      <c r="E54" s="43"/>
      <c r="F54" s="43"/>
      <c r="G54" s="43"/>
      <c r="H54" s="43"/>
      <c r="M54" s="43"/>
    </row>
    <row r="55" spans="1:13" s="45" customFormat="1" x14ac:dyDescent="0.25">
      <c r="A55" s="42"/>
      <c r="B55" s="43"/>
      <c r="C55" s="43"/>
      <c r="D55" s="43"/>
      <c r="E55" s="43"/>
      <c r="F55" s="43"/>
      <c r="G55" s="43"/>
      <c r="M55" s="43"/>
    </row>
    <row r="56" spans="1:13" s="45" customFormat="1" x14ac:dyDescent="0.25">
      <c r="A56" s="42"/>
      <c r="B56" s="43"/>
      <c r="C56" s="43"/>
      <c r="D56" s="43"/>
      <c r="E56" s="43"/>
      <c r="F56" s="43"/>
      <c r="G56" s="43"/>
      <c r="H56" s="43"/>
      <c r="M56" s="43"/>
    </row>
    <row r="57" spans="1:13" s="45" customFormat="1" x14ac:dyDescent="0.25">
      <c r="A57" s="42"/>
      <c r="B57" s="43"/>
      <c r="C57" s="43"/>
      <c r="D57" s="43"/>
      <c r="E57" s="43"/>
      <c r="F57" s="43"/>
      <c r="G57" s="43"/>
      <c r="H57" s="43"/>
      <c r="M57" s="43"/>
    </row>
    <row r="58" spans="1:13" s="45" customFormat="1" x14ac:dyDescent="0.25">
      <c r="A58" s="42"/>
      <c r="B58" s="43"/>
      <c r="C58" s="43"/>
      <c r="D58" s="43"/>
      <c r="E58" s="43"/>
      <c r="F58" s="43"/>
      <c r="G58" s="43"/>
      <c r="H58" s="43"/>
      <c r="M58" s="43"/>
    </row>
    <row r="59" spans="1:13" s="45" customFormat="1" x14ac:dyDescent="0.25">
      <c r="A59" s="42"/>
      <c r="B59" s="43"/>
      <c r="C59" s="43"/>
      <c r="D59" s="43"/>
      <c r="E59" s="43"/>
      <c r="F59" s="43"/>
      <c r="G59" s="43"/>
      <c r="H59" s="43"/>
      <c r="M59" s="43"/>
    </row>
    <row r="60" spans="1:13" s="45" customFormat="1" x14ac:dyDescent="0.25">
      <c r="A60" s="42"/>
      <c r="B60" s="43"/>
      <c r="C60" s="43"/>
      <c r="D60" s="43"/>
      <c r="E60" s="43"/>
      <c r="F60" s="43"/>
      <c r="G60" s="43"/>
      <c r="H60" s="43"/>
      <c r="M60" s="43"/>
    </row>
    <row r="61" spans="1:13" s="45" customFormat="1" x14ac:dyDescent="0.25">
      <c r="A61" s="42"/>
      <c r="B61" s="43"/>
      <c r="C61" s="43"/>
      <c r="D61" s="43"/>
      <c r="E61" s="43"/>
      <c r="F61" s="43"/>
      <c r="G61" s="43"/>
      <c r="H61" s="43"/>
      <c r="M61" s="43"/>
    </row>
    <row r="62" spans="1:13" s="45" customFormat="1" x14ac:dyDescent="0.25">
      <c r="A62" s="42"/>
      <c r="B62" s="43"/>
      <c r="C62" s="43"/>
      <c r="D62" s="43"/>
      <c r="E62" s="43"/>
      <c r="F62" s="43"/>
      <c r="G62" s="43"/>
      <c r="H62" s="43"/>
      <c r="M62" s="43"/>
    </row>
    <row r="63" spans="1:13" s="45" customFormat="1" x14ac:dyDescent="0.25">
      <c r="A63" s="42"/>
      <c r="B63" s="43"/>
      <c r="C63" s="43"/>
      <c r="D63" s="43"/>
      <c r="E63" s="43"/>
      <c r="F63" s="43"/>
      <c r="G63" s="43"/>
      <c r="H63" s="43"/>
      <c r="M63" s="43"/>
    </row>
    <row r="64" spans="1:13" s="45" customFormat="1" x14ac:dyDescent="0.25">
      <c r="A64" s="42"/>
      <c r="B64" s="43"/>
      <c r="C64" s="43"/>
      <c r="D64" s="43"/>
      <c r="E64" s="43"/>
      <c r="F64" s="43"/>
      <c r="G64" s="43"/>
      <c r="H64" s="43"/>
      <c r="M64" s="43"/>
    </row>
    <row r="65" spans="1:13" s="45" customFormat="1" x14ac:dyDescent="0.25">
      <c r="A65" s="42"/>
      <c r="B65" s="43"/>
      <c r="C65" s="43"/>
      <c r="D65" s="43"/>
      <c r="E65" s="43"/>
      <c r="F65" s="43"/>
      <c r="G65" s="43"/>
      <c r="H65" s="43"/>
      <c r="M65" s="43"/>
    </row>
    <row r="66" spans="1:13" s="45" customFormat="1" x14ac:dyDescent="0.25">
      <c r="A66" s="42"/>
      <c r="B66" s="43"/>
      <c r="C66" s="43"/>
      <c r="D66" s="43"/>
      <c r="E66" s="43"/>
      <c r="F66" s="43"/>
      <c r="G66" s="43"/>
      <c r="H66" s="43"/>
      <c r="M66" s="43"/>
    </row>
    <row r="67" spans="1:13" s="45" customFormat="1" x14ac:dyDescent="0.25">
      <c r="A67" s="42"/>
      <c r="B67" s="43"/>
      <c r="C67" s="43"/>
      <c r="D67" s="43"/>
      <c r="E67" s="43"/>
      <c r="F67" s="43"/>
      <c r="G67" s="43"/>
      <c r="H67" s="43"/>
      <c r="M67" s="43"/>
    </row>
    <row r="68" spans="1:13" s="45" customFormat="1" x14ac:dyDescent="0.25">
      <c r="A68" s="42"/>
      <c r="B68" s="43"/>
      <c r="C68" s="43"/>
      <c r="D68" s="43"/>
      <c r="E68" s="43"/>
      <c r="F68" s="43"/>
      <c r="G68" s="43"/>
      <c r="H68" s="43"/>
      <c r="M68" s="43"/>
    </row>
    <row r="69" spans="1:13" s="45" customFormat="1" x14ac:dyDescent="0.25">
      <c r="A69" s="42"/>
      <c r="B69" s="43"/>
      <c r="C69" s="43"/>
      <c r="D69" s="43"/>
      <c r="E69" s="43"/>
      <c r="F69" s="43"/>
      <c r="G69" s="43"/>
      <c r="H69" s="43"/>
      <c r="M69" s="43"/>
    </row>
    <row r="70" spans="1:13" s="45" customFormat="1" x14ac:dyDescent="0.25">
      <c r="A70" s="42"/>
      <c r="B70" s="43"/>
      <c r="C70" s="43"/>
      <c r="D70" s="43"/>
      <c r="E70" s="43"/>
      <c r="F70" s="43"/>
      <c r="G70" s="43"/>
      <c r="H70" s="43"/>
      <c r="M70" s="43"/>
    </row>
    <row r="71" spans="1:13" s="45" customFormat="1" x14ac:dyDescent="0.25">
      <c r="A71" s="42"/>
      <c r="B71" s="43"/>
      <c r="C71" s="43"/>
      <c r="D71" s="43"/>
      <c r="E71" s="43"/>
      <c r="F71" s="43"/>
      <c r="G71" s="43"/>
      <c r="H71" s="43"/>
      <c r="M71" s="43"/>
    </row>
    <row r="72" spans="1:13" s="45" customFormat="1" x14ac:dyDescent="0.25">
      <c r="A72" s="42"/>
      <c r="B72" s="43"/>
      <c r="C72" s="43"/>
      <c r="D72" s="43"/>
      <c r="E72" s="43"/>
      <c r="F72" s="43"/>
      <c r="G72" s="43"/>
      <c r="H72" s="43"/>
      <c r="M72" s="43"/>
    </row>
    <row r="73" spans="1:13" s="45" customFormat="1" x14ac:dyDescent="0.25">
      <c r="A73" s="42"/>
      <c r="B73" s="43"/>
      <c r="C73" s="43"/>
      <c r="D73" s="43"/>
      <c r="E73" s="43"/>
      <c r="F73" s="43"/>
      <c r="G73" s="43"/>
      <c r="H73" s="43"/>
      <c r="M73" s="43"/>
    </row>
    <row r="74" spans="1:13" s="45" customFormat="1" x14ac:dyDescent="0.25">
      <c r="A74" s="42"/>
      <c r="B74" s="43"/>
      <c r="C74" s="43"/>
      <c r="D74" s="43"/>
      <c r="E74" s="43"/>
      <c r="F74" s="43"/>
      <c r="G74" s="43"/>
      <c r="H74" s="43"/>
      <c r="M74" s="43"/>
    </row>
  </sheetData>
  <mergeCells count="25">
    <mergeCell ref="I26:I30"/>
    <mergeCell ref="I44:I50"/>
    <mergeCell ref="B44:F44"/>
    <mergeCell ref="B45:F45"/>
    <mergeCell ref="B46:F46"/>
    <mergeCell ref="I34:I38"/>
    <mergeCell ref="B39:C39"/>
    <mergeCell ref="B40:H40"/>
    <mergeCell ref="B41:F41"/>
    <mergeCell ref="B42:F42"/>
    <mergeCell ref="B43:F43"/>
    <mergeCell ref="H18:H20"/>
    <mergeCell ref="C19:C20"/>
    <mergeCell ref="D19:E19"/>
    <mergeCell ref="A22:H22"/>
    <mergeCell ref="A31:A38"/>
    <mergeCell ref="B31:B38"/>
    <mergeCell ref="A23:A30"/>
    <mergeCell ref="B23:B30"/>
    <mergeCell ref="B7:G7"/>
    <mergeCell ref="A18:A20"/>
    <mergeCell ref="B18:B20"/>
    <mergeCell ref="C18:E18"/>
    <mergeCell ref="F18:F20"/>
    <mergeCell ref="G18:G20"/>
  </mergeCells>
  <pageMargins left="0" right="0" top="0" bottom="0" header="0" footer="0"/>
  <pageSetup paperSize="9" scale="83" orientation="portrait" r:id="rId1"/>
  <headerFooter alignWithMargins="0"/>
  <rowBreaks count="1" manualBreakCount="1">
    <brk id="39" max="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637e46d-8fba-4ce7-a3bf-e9a7dfc0f2c9">47CC7JJTSMJM-489-11694</_dlc_DocId>
    <_dlc_DocIdUrl xmlns="0637e46d-8fba-4ce7-a3bf-e9a7dfc0f2c9">
      <Url>https://home.nipigas.ru/dep/ISM/_layouts/DocIdRedir.aspx?ID=47CC7JJTSMJM-489-11694</Url>
      <Description>47CC7JJTSMJM-489-11694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Nintex conditional workflow start</Name>
    <Synchronization>Synchronous</Synchronization>
    <Type>10001</Type>
    <SequenceNumber>50000</SequenceNumber>
    <Assembly>Nintex.Workflow, Version=1.0.0.0, Culture=neutral, PublicKeyToken=913f6bae0ca5ae12</Assembly>
    <Class>Nintex.Workflow.ConditionalWorkflowStartReceiver</Class>
    <Data>637195229663629852</Data>
    <Filter/>
  </Receiver>
  <Receiver>
    <Name>Nintex conditional workflow start</Name>
    <Synchronization>Synchronous</Synchronization>
    <Type>10002</Type>
    <SequenceNumber>50000</SequenceNumber>
    <Assembly>Nintex.Workflow, Version=1.0.0.0, Culture=neutral, PublicKeyToken=913f6bae0ca5ae12</Assembly>
    <Class>Nintex.Workflow.ConditionalWorkflowStartReceiver</Class>
    <Data>637195229663629852</Data>
    <Filter/>
  </Receiver>
  <Receiver>
    <Name>Nintex conditional workflow start</Name>
    <Synchronization>Synchronous</Synchronization>
    <Type>2</Type>
    <SequenceNumber>50000</SequenceNumber>
    <Assembly>Nintex.Workflow, Version=1.0.0.0, Culture=neutral, PublicKeyToken=913f6bae0ca5ae12</Assembly>
    <Class>Nintex.Workflow.ConditionalWorkflowStartReceiver</Class>
    <Data>637195229663629852</Data>
    <Filter/>
  </Receiver>
</spe:Receivers>
</file>

<file path=customXml/item3.xml><?xml version="1.0" encoding="utf-8"?>
<?mso-contentType ?>
<ntns:customXsn xmlns:ntns="http://schemas.microsoft.com/office/2006/metadata/customXsn">
  <ntns:xsnLocation>https://home.nipigas.ru/_cts/Документ/4bdb25f2a7cb9d52customXsn.xsn</ntns:xsnLocation>
  <ntns:cached>False</ntns:cached>
  <ntns:openByDefault>False</ntns:openByDefault>
  <ntns:xsnScope>https://home.nipigas.ru</ntns:xsnScope>
</ntns:customXsn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75F1D10EF8C144E91B17B0156A9D633" ma:contentTypeVersion="5" ma:contentTypeDescription="Создание документа." ma:contentTypeScope="" ma:versionID="4c784f07d66071b3ace78e9936b74b48">
  <xsd:schema xmlns:xsd="http://www.w3.org/2001/XMLSchema" xmlns:xs="http://www.w3.org/2001/XMLSchema" xmlns:p="http://schemas.microsoft.com/office/2006/metadata/properties" xmlns:ns2="0637e46d-8fba-4ce7-a3bf-e9a7dfc0f2c9" targetNamespace="http://schemas.microsoft.com/office/2006/metadata/properties" ma:root="true" ma:fieldsID="40ccadbb04ac6655f71e8fccac280d1b" ns2:_="">
    <xsd:import namespace="0637e46d-8fba-4ce7-a3bf-e9a7dfc0f2c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7e46d-8fba-4ce7-a3bf-e9a7dfc0f2c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Сохранить идентификатор" ma:description="Сохранять идентификатор при добавлении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93FD01-56E3-40EA-90A9-12CC7951B59E}">
  <ds:schemaRefs>
    <ds:schemaRef ds:uri="http://www.w3.org/XML/1998/namespace"/>
    <ds:schemaRef ds:uri="http://purl.org/dc/terms/"/>
    <ds:schemaRef ds:uri="0637e46d-8fba-4ce7-a3bf-e9a7dfc0f2c9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530CCBC-1B0E-40AE-B906-C58525E34E2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E3C63DA-8D2D-4EB9-8516-5A3422530B93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B1F278B3-D489-47B1-807F-5986D5BC1F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37e46d-8fba-4ce7-a3bf-e9a7dfc0f2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79126F66-9938-4510-BB21-EFB01F2EF4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21</vt:i4>
      </vt:variant>
    </vt:vector>
  </HeadingPairs>
  <TitlesOfParts>
    <vt:vector size="28" baseType="lpstr">
      <vt:lpstr>Форма сводной сметы </vt:lpstr>
      <vt:lpstr>ИД для составления смет</vt:lpstr>
      <vt:lpstr>Лист2</vt:lpstr>
      <vt:lpstr>Справочник СБЦ</vt:lpstr>
      <vt:lpstr>Лист1</vt:lpstr>
      <vt:lpstr>Форма сметы ПИР (2П)</vt:lpstr>
      <vt:lpstr>Форма расчета трудозатрат (3П)</vt:lpstr>
      <vt:lpstr>АВТОМОБИЛЬНЫЕ_ДОРОГИ</vt:lpstr>
      <vt:lpstr>ЖЕЛЕЗНЫЕ_ДОРОГИ</vt:lpstr>
      <vt:lpstr>ЗАЩИТНЫЕ_СООРУЖЕНИЯ_ГРАЖДАНСКОЙ_ОБОРОНЫ</vt:lpstr>
      <vt:lpstr>ИСКУСТВЕННЫЕ</vt:lpstr>
      <vt:lpstr>ИСКУСТВЕННЫЕ_СООРУЖЕНИЯ</vt:lpstr>
      <vt:lpstr>ИССКУСТВЕННЫЕ</vt:lpstr>
      <vt:lpstr>ИССКУСТВЕННЫЕ_СООРУЖЕНИЯ_МОСТЫ_ПЕРЕХОДЫ_ПУТЕПРОВОДЫ</vt:lpstr>
      <vt:lpstr>КОММУНАЛЬНЫЕ_ИНЖЕНЕРНЫЕ_СЕТИ_И_СООРУЖЕНИЯ</vt:lpstr>
      <vt:lpstr>'ИД для составления смет'!Область_печати</vt:lpstr>
      <vt:lpstr>'Форма расчета трудозатрат (3П)'!Область_печати</vt:lpstr>
      <vt:lpstr>'Форма сводной сметы '!Область_печати</vt:lpstr>
      <vt:lpstr>'Форма сметы ПИР (2П)'!Область_печати</vt:lpstr>
      <vt:lpstr>ОБЪЕКТЫ_ВОДОСНАБЖЕНИЯ_И_КАНАЛИЗАЦИИ</vt:lpstr>
      <vt:lpstr>ОБЪЕКТЫ_ГАЗОВОЙ_ПРОМЫШЛЕННОСТИ</vt:lpstr>
      <vt:lpstr>ОБЪЕКТЫ_ЖИЛИЩНО_ГРАЖДАНСКОГО_СТРОИТЕЛЬСТВА</vt:lpstr>
      <vt:lpstr>ОБЪЕКТЫ_МАГИСТРАЛЬНОГО_ТРУБОПРОВОДНОГО_ТРАНСПОРТА_НЕФТИ</vt:lpstr>
      <vt:lpstr>ОБЪЕКТЫ_НЕФТЕПЕРЕРАБАТЫВАЮЩЕЙ_И_НЕФТЕХИМИЧЕСКОЙ_ПРОМЫШЛЕННОСТИ</vt:lpstr>
      <vt:lpstr>ОБЪЕКТЫ_СИНТЕТИЧЕСКИХ_СМОЛ_ПЛАСТИЧЕСКИХ_МАСС_СТЕКЛОВОЛОКНА_СТЕКЛОПЛАСТИК_ПЛАСТМАССОВЫХ_ИЗДЕЛИЙ</vt:lpstr>
      <vt:lpstr>ОБЪЕКТЫ_ЭНЕРГЕТИКИ_ГЕНЕРАЦИЯ_ЭНЕРГИИ</vt:lpstr>
      <vt:lpstr>ОБЪЕКТЫ_ЭНЕРГЕТИКИ_ЭЛЕКТРОСЕТЕВЫЕ_ОБЪЕКТЫ</vt:lpstr>
      <vt:lpstr>СИСТЕМЫ_ПРОТИВОПОЖАРНОЙ_И_ОХРАННОЙ_ЗАЩИТЫ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Апалькова Светлана Леонидовна</dc:creator>
  <cp:lastModifiedBy>Васильев Гавриил Игоревич</cp:lastModifiedBy>
  <cp:lastPrinted>2019-09-16T11:34:57Z</cp:lastPrinted>
  <dcterms:created xsi:type="dcterms:W3CDTF">2017-08-16T07:17:02Z</dcterms:created>
  <dcterms:modified xsi:type="dcterms:W3CDTF">2026-06-01T10:38:35Z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0x010100775F1D10EF8C144E91B17B0156A9D633</vt:lpwstr>
  </property>
  <property fmtid="{D5CDD505-2E9C-101B-9397-08002B2CF9AE}" pid="3" name="_dlc_DocIdItemGuid">
    <vt:lpwstr>a45915f6-69e0-4ff9-b7b8-9beccd421bcb</vt:lpwstr>
  </property>
</Properties>
</file>