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filterPrivacy="1" codeName="ЭтаКнига" defaultThemeVersion="124226"/>
  <xr:revisionPtr revIDLastSave="0" documentId="13_ncr:1_{0A6928E2-B845-4AEB-9E28-A85C4DF366BA}" xr6:coauthVersionLast="47" xr6:coauthVersionMax="47" xr10:uidLastSave="{00000000-0000-0000-0000-000000000000}"/>
  <bookViews>
    <workbookView xWindow="-57720" yWindow="-120" windowWidth="29040" windowHeight="15720" xr2:uid="{00000000-000D-0000-FFFF-FFFF00000000}"/>
  </bookViews>
  <sheets>
    <sheet name="ДКУ ПГ-1" sheetId="1" r:id="rId1"/>
    <sheet name="ДКУ ПГ-2" sheetId="2" r:id="rId2"/>
    <sheet name="КСВ-1" sheetId="3" r:id="rId3"/>
    <sheet name="КСВ-2" sheetId="4" r:id="rId4"/>
  </sheets>
  <definedNames>
    <definedName name="_xlnm._FilterDatabase" localSheetId="0" hidden="1">'ДКУ ПГ-1'!$A$11:$U$11</definedName>
    <definedName name="_xlnm._FilterDatabase" localSheetId="1" hidden="1">'ДКУ ПГ-2'!$A$11:$U$11</definedName>
    <definedName name="_xlnm._FilterDatabase" localSheetId="2" hidden="1">'КСВ-1'!$A$11:$U$11</definedName>
    <definedName name="_xlnm._FilterDatabase" localSheetId="3" hidden="1">'КСВ-2'!$A$11:$U$11</definedName>
    <definedName name="fsavd" localSheetId="1">'ДКУ ПГ-2'!$A$6</definedName>
    <definedName name="fsavd" localSheetId="2">'КСВ-1'!$A$6</definedName>
    <definedName name="fsavd" localSheetId="3">'КСВ-2'!$A$6</definedName>
    <definedName name="fsavd">'ДКУ ПГ-1'!$A$6</definedName>
    <definedName name="ingpr" localSheetId="1">'ДКУ ПГ-2'!#REF!</definedName>
    <definedName name="ingpr" localSheetId="2">'КСВ-1'!#REF!</definedName>
    <definedName name="ingpr" localSheetId="3">'КСВ-2'!#REF!</definedName>
    <definedName name="ingpr">'ДКУ ПГ-1'!#REF!</definedName>
    <definedName name="lt_table" localSheetId="1">'ДКУ ПГ-2'!$A$12:$W$12</definedName>
    <definedName name="lt_table" localSheetId="2">'КСВ-1'!$A$12:$W$12</definedName>
    <definedName name="lt_table" localSheetId="3">'КСВ-2'!$A$12:$W$12</definedName>
    <definedName name="lt_table">'ДКУ ПГ-1'!$A$12:$W$12</definedName>
    <definedName name="tab" localSheetId="1">'ДКУ ПГ-2'!$A$12:$W$29</definedName>
    <definedName name="tab" localSheetId="2">'КСВ-1'!$A$12:$W$28</definedName>
    <definedName name="tab" localSheetId="3">'КСВ-2'!$A$12:$W$28</definedName>
    <definedName name="tab">'ДКУ ПГ-1'!$A$12:$W$29</definedName>
    <definedName name="tplnr1" localSheetId="1">'ДКУ ПГ-2'!$D$7</definedName>
    <definedName name="tplnr1" localSheetId="2">'КСВ-1'!$D$7</definedName>
    <definedName name="tplnr1" localSheetId="3">'КСВ-2'!$D$7</definedName>
    <definedName name="tplnr1">'ДКУ ПГ-1'!$D$7</definedName>
    <definedName name="tplnr2" localSheetId="1">'ДКУ ПГ-2'!$D$8</definedName>
    <definedName name="tplnr2" localSheetId="2">'КСВ-1'!$D$8</definedName>
    <definedName name="tplnr2" localSheetId="3">'КСВ-2'!$D$8</definedName>
    <definedName name="tplnr2">'ДКУ ПГ-1'!$D$8</definedName>
    <definedName name="tplnr3" localSheetId="1">'ДКУ ПГ-2'!#REF!</definedName>
    <definedName name="tplnr3" localSheetId="2">'КСВ-1'!#REF!</definedName>
    <definedName name="tplnr3" localSheetId="3">'КСВ-2'!#REF!</definedName>
    <definedName name="tplnr3">'ДКУ ПГ-1'!#REF!</definedName>
    <definedName name="tplnr4" localSheetId="1">'ДКУ ПГ-2'!#REF!</definedName>
    <definedName name="tplnr4" localSheetId="2">'КСВ-1'!#REF!</definedName>
    <definedName name="tplnr4" localSheetId="3">'КСВ-2'!#REF!</definedName>
    <definedName name="tplnr4">'ДКУ ПГ-1'!#REF!</definedName>
    <definedName name="Я_МАКРОС1" localSheetId="1">'ДКУ ПГ-2'!$1:$1048576</definedName>
    <definedName name="Я_МАКРОС1" localSheetId="2">'КСВ-1'!$1:$1048576</definedName>
    <definedName name="Я_МАКРОС1" localSheetId="3">'КСВ-2'!$1:$1048576</definedName>
    <definedName name="Я_МАКРОС1">'ДКУ ПГ-1'!$1:$1048576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L32" i="4" l="1"/>
  <c r="B11" i="4"/>
  <c r="C11" i="4"/>
  <c r="D11" i="4"/>
  <c r="E11" i="4"/>
  <c r="F11" i="4" s="1"/>
  <c r="G11" i="4" s="1"/>
  <c r="H11" i="4" s="1"/>
  <c r="I11" i="4" s="1"/>
  <c r="J11" i="4" s="1"/>
  <c r="K11" i="4" s="1"/>
  <c r="L11" i="4" s="1"/>
  <c r="M11" i="4" s="1"/>
  <c r="N11" i="4" s="1"/>
  <c r="O11" i="4" s="1"/>
  <c r="P11" i="4" s="1"/>
  <c r="Q11" i="4" s="1"/>
  <c r="R11" i="4" s="1"/>
  <c r="S11" i="4" s="1"/>
  <c r="T11" i="4" s="1"/>
  <c r="U11" i="4" s="1"/>
  <c r="V11" i="4" s="1"/>
  <c r="W11" i="4" s="1"/>
  <c r="B11" i="3" l="1"/>
  <c r="C11" i="3"/>
  <c r="D11" i="3"/>
  <c r="E11" i="3" s="1"/>
  <c r="F11" i="3" s="1"/>
  <c r="G11" i="3" s="1"/>
  <c r="H11" i="3" s="1"/>
  <c r="I11" i="3" s="1"/>
  <c r="J11" i="3" s="1"/>
  <c r="K11" i="3" s="1"/>
  <c r="L11" i="3" s="1"/>
  <c r="M11" i="3" s="1"/>
  <c r="N11" i="3" s="1"/>
  <c r="O11" i="3" s="1"/>
  <c r="P11" i="3" s="1"/>
  <c r="Q11" i="3" s="1"/>
  <c r="R11" i="3" s="1"/>
  <c r="S11" i="3" s="1"/>
  <c r="T11" i="3" s="1"/>
  <c r="U11" i="3" s="1"/>
  <c r="V11" i="3" s="1"/>
  <c r="W11" i="3" s="1"/>
  <c r="L32" i="3"/>
  <c r="B11" i="2" l="1"/>
  <c r="C11" i="2" s="1"/>
  <c r="D11" i="2" s="1"/>
  <c r="E11" i="2" s="1"/>
  <c r="F11" i="2" s="1"/>
  <c r="G11" i="2" s="1"/>
  <c r="H11" i="2" s="1"/>
  <c r="I11" i="2" s="1"/>
  <c r="J11" i="2" s="1"/>
  <c r="K11" i="2" s="1"/>
  <c r="L11" i="2" s="1"/>
  <c r="M11" i="2" s="1"/>
  <c r="N11" i="2" s="1"/>
  <c r="O11" i="2" s="1"/>
  <c r="P11" i="2" s="1"/>
  <c r="Q11" i="2" s="1"/>
  <c r="R11" i="2" s="1"/>
  <c r="S11" i="2" s="1"/>
  <c r="T11" i="2" s="1"/>
  <c r="U11" i="2" s="1"/>
  <c r="V11" i="2" s="1"/>
  <c r="W11" i="2" s="1"/>
  <c r="A13" i="2"/>
  <c r="A15" i="2"/>
  <c r="A21" i="2"/>
  <c r="A23" i="2"/>
  <c r="A25" i="2"/>
  <c r="A27" i="2"/>
  <c r="A29" i="2"/>
  <c r="A31" i="2"/>
  <c r="A33" i="2"/>
  <c r="A35" i="2"/>
  <c r="L36" i="2"/>
  <c r="N11" i="1" l="1"/>
  <c r="O11" i="1" s="1"/>
  <c r="P11" i="1" s="1"/>
  <c r="Q11" i="1" s="1"/>
  <c r="R11" i="1" s="1"/>
  <c r="S11" i="1" s="1"/>
  <c r="T11" i="1" s="1"/>
  <c r="U11" i="1" s="1"/>
  <c r="V11" i="1" s="1"/>
  <c r="W11" i="1" s="1"/>
  <c r="L36" i="1" l="1"/>
  <c r="L11" i="1"/>
  <c r="M11" i="1" s="1"/>
  <c r="A23" i="1" l="1"/>
  <c r="A25" i="1"/>
  <c r="A15" i="1"/>
  <c r="A21" i="1"/>
  <c r="A27" i="1"/>
  <c r="A29" i="1"/>
  <c r="A31" i="1"/>
  <c r="A33" i="1"/>
  <c r="A35" i="1"/>
  <c r="A13" i="1" l="1"/>
  <c r="B11" i="1" l="1"/>
  <c r="C11" i="1" s="1"/>
  <c r="D11" i="1" s="1"/>
  <c r="E11" i="1" s="1"/>
  <c r="F11" i="1" s="1"/>
  <c r="G11" i="1" s="1"/>
  <c r="H11" i="1" s="1"/>
  <c r="I11" i="1" s="1"/>
  <c r="J11" i="1" s="1"/>
  <c r="K11" i="1" s="1"/>
</calcChain>
</file>

<file path=xl/sharedStrings.xml><?xml version="1.0" encoding="utf-8"?>
<sst xmlns="http://schemas.openxmlformats.org/spreadsheetml/2006/main" count="1238" uniqueCount="155">
  <si>
    <t>Инв.№</t>
  </si>
  <si>
    <t>Исполнитель</t>
  </si>
  <si>
    <t>Необходимые МТР</t>
  </si>
  <si>
    <t>Примечание</t>
  </si>
  <si>
    <t>Ед. измерения</t>
  </si>
  <si>
    <t>Кол-во</t>
  </si>
  <si>
    <t>Код ЕО</t>
  </si>
  <si>
    <t>Вид работ</t>
  </si>
  <si>
    <t>Наименование МТР</t>
  </si>
  <si>
    <t>Наименование оборудования (ЕО), узлов, деталей, подлежащих ремонту</t>
  </si>
  <si>
    <t>Номер заказа</t>
  </si>
  <si>
    <t>Условия выполнения работ</t>
  </si>
  <si>
    <t>Наименование,
марка</t>
  </si>
  <si>
    <t>Кол-во маш/час.</t>
  </si>
  <si>
    <t xml:space="preserve">Машины, механизмы и приспособления </t>
  </si>
  <si>
    <t>Наименование работ</t>
  </si>
  <si>
    <t>Объем выполняемых работ</t>
  </si>
  <si>
    <t>Ед.
измерения</t>
  </si>
  <si>
    <t>Кол-во
(шт)</t>
  </si>
  <si>
    <t>Наименование заказа</t>
  </si>
  <si>
    <t>№ позиции по технологической схеме</t>
  </si>
  <si>
    <t>Завод:</t>
  </si>
  <si>
    <t>Цех:</t>
  </si>
  <si>
    <t>Подписи:</t>
  </si>
  <si>
    <t>(Ф.И.О)</t>
  </si>
  <si>
    <t>(Подпись)</t>
  </si>
  <si>
    <t xml:space="preserve">УТВЕРЖДАЮ </t>
  </si>
  <si>
    <t>"_____" "____________" 20____г.</t>
  </si>
  <si>
    <t>(подпись)</t>
  </si>
  <si>
    <t xml:space="preserve">
</t>
  </si>
  <si>
    <t>ШТ</t>
  </si>
  <si>
    <t>ЭнергоПроизводство</t>
  </si>
  <si>
    <t>Менеджер энергопроизводства</t>
  </si>
  <si>
    <t>1001517311</t>
  </si>
  <si>
    <t>48964961</t>
  </si>
  <si>
    <t>Осмотр компрессорной установки на предмет утечек</t>
  </si>
  <si>
    <t>Проверка на наличие нехарактерных шумов при работе установки</t>
  </si>
  <si>
    <t>Проверка состояния труб на предмет целостности, коррозии</t>
  </si>
  <si>
    <t>Проверка фланцевых и штуцерных соединений, на предмет работоспособности и герметичности</t>
  </si>
  <si>
    <t>Замена (при необходимости) прокладок на фланцевых соединениях, протяжка</t>
  </si>
  <si>
    <t>Проверка состояния рамы и фундамента на предмет целостности</t>
  </si>
  <si>
    <t>отм.0,00 м</t>
  </si>
  <si>
    <t>Проверка работоспособности приборов КИПиА, уставок, диапазонов</t>
  </si>
  <si>
    <t>Проверка регуляторов и их параметров регулирования</t>
  </si>
  <si>
    <t>Проверка работы исполнительных механизмов регулирующей и приводной арматуры</t>
  </si>
  <si>
    <t>Анализ журнала ошибок САУ, анализ причин возникновения ошибок</t>
  </si>
  <si>
    <t>Замена фильтров масла, системы СГУ</t>
  </si>
  <si>
    <t>Проверка состояния зубчатых передач мультипликатора (на остановленном агрегате) через инспекционные крышки</t>
  </si>
  <si>
    <t>Проверка состояния муфты Компрессор-Главный электродвигатель</t>
  </si>
  <si>
    <t>Проверка состояния системы уплотнительного газа</t>
  </si>
  <si>
    <t>Разборка/сборка кожуха полумуфты</t>
  </si>
  <si>
    <t>Вскрытие/закрытие инспекццонной крышки</t>
  </si>
  <si>
    <t>Проверка системы контроля помпажа, (противопомпажной защиты (на остановленном агрегате)</t>
  </si>
  <si>
    <t>Проверка Центровки Мотор-Компрессор, центровка при необходимости</t>
  </si>
  <si>
    <t>Проверка работоспособности системы контроля вибрации (на остановленном агрегате)</t>
  </si>
  <si>
    <t>Анализ масла в специализированной лаборатории</t>
  </si>
  <si>
    <t>Запись параметров 24ч работы агрегата после пуска</t>
  </si>
  <si>
    <t>Составление отчёта</t>
  </si>
  <si>
    <t>01EKH01</t>
  </si>
  <si>
    <t>3</t>
  </si>
  <si>
    <t>5</t>
  </si>
  <si>
    <t>6</t>
  </si>
  <si>
    <t>7</t>
  </si>
  <si>
    <t>8</t>
  </si>
  <si>
    <t>9</t>
  </si>
  <si>
    <t>11</t>
  </si>
  <si>
    <t>13</t>
  </si>
  <si>
    <t>15</t>
  </si>
  <si>
    <t>17</t>
  </si>
  <si>
    <t>19</t>
  </si>
  <si>
    <t>21</t>
  </si>
  <si>
    <t>23</t>
  </si>
  <si>
    <t>№</t>
  </si>
  <si>
    <t>отм.0,000м</t>
  </si>
  <si>
    <t>отм.0,000-4,000м</t>
  </si>
  <si>
    <t>отм.4,000м</t>
  </si>
  <si>
    <t>Ходовые испытания</t>
  </si>
  <si>
    <t>ТР</t>
  </si>
  <si>
    <t>А.Д Трутнев</t>
  </si>
  <si>
    <t>И.В Аскаров</t>
  </si>
  <si>
    <t>Компрессор GT040T4D0</t>
  </si>
  <si>
    <t>ТР Компрессор  GT040T4D0</t>
  </si>
  <si>
    <t>ПЭГ</t>
  </si>
  <si>
    <t>КА</t>
  </si>
  <si>
    <t>Ведущий инженер ПЭГ</t>
  </si>
  <si>
    <t>Компрессор GT040T4D0    поз.01EKH01
Заводской номер №62000038
 центробежный, Число рабочих колес - 4. Производительность – 37690 кг/ч.
Электропривод: переменного тока, синхронный, мощность 4915 кВт.</t>
  </si>
  <si>
    <t>Выполнение работ  вне остановочного ремонта внутри  здания с наличием в зоне производства работ оборудования и трубопроводов, мостовых кранов отм.0,000-4,000м</t>
  </si>
  <si>
    <t>Кол-во исполнителей, чел.</t>
  </si>
  <si>
    <t>-</t>
  </si>
  <si>
    <t>Дефектная ведомость Компрессор GT040T4D0  поз.01EKH01</t>
  </si>
  <si>
    <t>01EKH02</t>
  </si>
  <si>
    <t>1001517316</t>
  </si>
  <si>
    <t>Компрессор GT040T4D0    поз.01EKH02
Заводской номер №62000039
центробежный, Число рабочих колес - 4. Производительность – 37690 кг/ч.
Электропривод: переменного тока, синхронный, мощность 4915 кВт</t>
  </si>
  <si>
    <t>Дефектная ведомость Компрессор GT040T4D0  поз.01EKH02</t>
  </si>
  <si>
    <t>Ведущий инженер ТОиР</t>
  </si>
  <si>
    <t>шт.</t>
  </si>
  <si>
    <t>Фильтр</t>
  </si>
  <si>
    <t>отм.0,00</t>
  </si>
  <si>
    <t>2</t>
  </si>
  <si>
    <t>Замена фильтров</t>
  </si>
  <si>
    <t>ТО</t>
  </si>
  <si>
    <t>00SCA10AT001 B</t>
  </si>
  <si>
    <t>ТОКомпрессор BLO-145</t>
  </si>
  <si>
    <t>310008943952</t>
  </si>
  <si>
    <t>Осушитель  абсорбционный №1 В</t>
  </si>
  <si>
    <t>1001586248</t>
  </si>
  <si>
    <t>00SCA10AT001 А</t>
  </si>
  <si>
    <t>Осушитель  абсорбционный №1 A</t>
  </si>
  <si>
    <t>1001586247</t>
  </si>
  <si>
    <t>Очистка радиатора, проверка вентилятора, протяжка контактов</t>
  </si>
  <si>
    <t>00SCA10AC001</t>
  </si>
  <si>
    <t>Теплообменник электрический нагревательный с вентилятором</t>
  </si>
  <si>
    <t>1001589112</t>
  </si>
  <si>
    <t>КА, 
Оперблок</t>
  </si>
  <si>
    <t>Запуск компрессора, обкатка не менее двух часов (совместно с персоналом заказчика), уборка рабочего места;</t>
  </si>
  <si>
    <t>00SCA10AN001</t>
  </si>
  <si>
    <t>Компрессор BLO-145</t>
  </si>
  <si>
    <t>1001567011</t>
  </si>
  <si>
    <t>Смазка подшипников электродвигателя</t>
  </si>
  <si>
    <t>1001603984</t>
  </si>
  <si>
    <t>Обратный клапан</t>
  </si>
  <si>
    <t>Замена обратного клапана конденсата промежуточного охладителя;</t>
  </si>
  <si>
    <t>Замена фильтроэлемента сапуна корпуса редуктора;</t>
  </si>
  <si>
    <t>Замена воздушного фильтра</t>
  </si>
  <si>
    <t>10</t>
  </si>
  <si>
    <t>Проверка электрических соединений, протяжка (при необходимости)</t>
  </si>
  <si>
    <t>SPM измерение вибрации подшипников электродвигателя;</t>
  </si>
  <si>
    <t>Проверка резиновых вставок ведущей муфты;</t>
  </si>
  <si>
    <t>отм.0,00-2,00м</t>
  </si>
  <si>
    <t>Очистка обтекателя вентилятора электродвигателя;</t>
  </si>
  <si>
    <t>Снятие крышки вентелятора электродвигателя</t>
  </si>
  <si>
    <t>Проверка слива конденсата;</t>
  </si>
  <si>
    <t>Проверка состояния мембраны уравновешивающего поршня;</t>
  </si>
  <si>
    <t>Проверка дроссельной заслонки воздухозаборника;</t>
  </si>
  <si>
    <t>1</t>
  </si>
  <si>
    <t>Проверка картера на наличие воды в масле;</t>
  </si>
  <si>
    <t>Проверка работы охладителя (температура на входе);</t>
  </si>
  <si>
    <t>Проверка эксплуатационных показателей – температура и давление воздуха, масла, воды;</t>
  </si>
  <si>
    <t>Выполнение работ  вне остановочного ремонта внутри  здания с наличием в зоне производства работ оборудования и трубопроводов, мостовых кранов отм.0,00-2,00м</t>
  </si>
  <si>
    <t>Компрессор BLO-145 поз.00SCA10AN001
Заводской номер № LU145863
однокорпусной, винтовой, Число винтов -2. Производительность – 21,5 м3/мин.
Электропривод: переменного тока, синхронный, мощность 145 кВт</t>
  </si>
  <si>
    <t>№ +C4+A+A9:T13</t>
  </si>
  <si>
    <t>Дефектная ведомость Компрессор BLO-145 поз.00SCA10AN001</t>
  </si>
  <si>
    <t>00SCA20AT001 B</t>
  </si>
  <si>
    <t>310008943953</t>
  </si>
  <si>
    <t>1001586250</t>
  </si>
  <si>
    <t>00SCA20AT001 А</t>
  </si>
  <si>
    <t>1001586249</t>
  </si>
  <si>
    <t>00SCA20AC001</t>
  </si>
  <si>
    <t>1001589113</t>
  </si>
  <si>
    <t>00SCA20AN001</t>
  </si>
  <si>
    <t>1001567012</t>
  </si>
  <si>
    <t>1001603985</t>
  </si>
  <si>
    <t>Компрессор BLO-145 поз.00SCA20AN001
Заводской номер № LU145864
однокорпусной, винтовой, Число винтов -2. Производительность – 21,5 м3/мин.
Электропривод: переменного тока, синхронный, мощность 145 кВт</t>
  </si>
  <si>
    <t>Дефектная ведомость Компрессор BLO-145 поз.00SCA20AN001</t>
  </si>
  <si>
    <t>Время выполнения работ на 1чел, чел./час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</si>
</sst>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General;General;&quot; &quot;"/>
    <numFmt numFmtId="165" formatCode="#,##0.000;\-#,##0.000;&quot; &quot;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name val="Times New Roman"/>
      <family val="1"/>
      <charset val="204"/>
    </font>
    <font>
      <b/>
      <sz val="11"/>
      <name val="Times New Roman"/>
      <family val="1"/>
      <charset val="204"/>
    </font>
    <font>
      <u/>
      <sz val="11"/>
      <name val="Times New Roman"/>
      <family val="1"/>
      <charset val="204"/>
    </font>
    <font>
      <b/>
      <sz val="11"/>
      <color theme="1"/>
      <name val="Calibri"/>
      <family val="2"/>
      <scheme val="minor"/>
    </font>
    <font>
      <b/>
      <sz val="12"/>
      <name val="Times New Roman"/>
      <family val="1"/>
      <charset val="204"/>
    </font>
    <font>
      <sz val="11"/>
      <name val="Calibri"/>
      <family val="2"/>
      <scheme val="minor"/>
    </font>
    <font>
      <sz val="12"/>
      <name val="Times New Roman"/>
      <family val="1"/>
      <charset val="204"/>
    </font>
    <font>
      <b/>
      <sz val="11"/>
      <name val="Calibri"/>
      <family val="2"/>
      <scheme val="minor"/>
    </font>
    <font>
      <sz val="11"/>
      <color theme="1"/>
      <name val="Times New Roman"/>
      <family val="1"/>
      <charset val="204"/>
    </font>
    <font>
      <sz val="8"/>
      <color theme="1"/>
      <name val="Times New Roman"/>
      <family val="1"/>
      <charset val="204"/>
    </font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3">
    <xf numFmtId="0" fontId="0" fillId="0" borderId="0"/>
    <xf numFmtId="0" fontId="4" fillId="0" borderId="0"/>
    <xf numFmtId="0" fontId="3" fillId="0" borderId="0"/>
    <xf numFmtId="0" fontId="15" fillId="0" borderId="0"/>
    <xf numFmtId="0" fontId="16" fillId="0" borderId="0"/>
    <xf numFmtId="0" fontId="1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</cellStyleXfs>
  <cellXfs count="201">
    <xf numFmtId="0" fontId="0" fillId="0" borderId="0" xfId="0"/>
    <xf numFmtId="0" fontId="5" fillId="0" borderId="0" xfId="1" applyFont="1" applyAlignment="1">
      <alignment wrapText="1"/>
    </xf>
    <xf numFmtId="0" fontId="8" fillId="0" borderId="0" xfId="0" applyFont="1"/>
    <xf numFmtId="0" fontId="5" fillId="0" borderId="0" xfId="1" applyFont="1" applyAlignment="1">
      <alignment horizontal="center" wrapText="1"/>
    </xf>
    <xf numFmtId="0" fontId="0" fillId="0" borderId="0" xfId="0" applyFill="1"/>
    <xf numFmtId="0" fontId="0" fillId="0" borderId="0" xfId="0" applyFill="1" applyAlignment="1"/>
    <xf numFmtId="0" fontId="5" fillId="0" borderId="0" xfId="1" applyFont="1" applyFill="1" applyAlignment="1">
      <alignment horizontal="center" wrapText="1"/>
    </xf>
    <xf numFmtId="0" fontId="9" fillId="0" borderId="0" xfId="1" applyFont="1" applyFill="1" applyAlignment="1">
      <alignment horizontal="center" wrapText="1"/>
    </xf>
    <xf numFmtId="0" fontId="6" fillId="0" borderId="0" xfId="1" applyFont="1" applyAlignment="1">
      <alignment wrapText="1"/>
    </xf>
    <xf numFmtId="0" fontId="5" fillId="0" borderId="0" xfId="1" applyFont="1" applyAlignment="1">
      <alignment horizontal="center" vertical="top" wrapText="1"/>
    </xf>
    <xf numFmtId="0" fontId="5" fillId="0" borderId="0" xfId="1" applyFont="1" applyAlignment="1">
      <alignment vertical="top" wrapText="1"/>
    </xf>
    <xf numFmtId="0" fontId="0" fillId="0" borderId="0" xfId="0" applyAlignment="1">
      <alignment wrapText="1"/>
    </xf>
    <xf numFmtId="0" fontId="5" fillId="0" borderId="0" xfId="1" applyFont="1" applyAlignment="1">
      <alignment horizontal="left" vertical="top" wrapText="1"/>
    </xf>
    <xf numFmtId="0" fontId="7" fillId="0" borderId="0" xfId="1" applyFont="1" applyAlignment="1">
      <alignment wrapText="1"/>
    </xf>
    <xf numFmtId="0" fontId="6" fillId="0" borderId="0" xfId="1" applyFont="1" applyAlignment="1">
      <alignment vertical="top" wrapText="1"/>
    </xf>
    <xf numFmtId="0" fontId="6" fillId="0" borderId="0" xfId="1" applyFont="1" applyAlignment="1">
      <alignment horizontal="left" vertical="top" wrapText="1"/>
    </xf>
    <xf numFmtId="0" fontId="10" fillId="0" borderId="0" xfId="0" applyFont="1" applyFill="1" applyAlignment="1">
      <alignment wrapText="1"/>
    </xf>
    <xf numFmtId="0" fontId="6" fillId="0" borderId="0" xfId="0" applyFont="1" applyAlignment="1">
      <alignment wrapText="1"/>
    </xf>
    <xf numFmtId="0" fontId="6" fillId="0" borderId="0" xfId="0" applyFont="1" applyFill="1" applyAlignment="1">
      <alignment wrapText="1"/>
    </xf>
    <xf numFmtId="0" fontId="6" fillId="0" borderId="0" xfId="1" applyNumberFormat="1" applyFont="1" applyFill="1" applyBorder="1" applyAlignment="1">
      <alignment horizontal="left" wrapText="1"/>
    </xf>
    <xf numFmtId="0" fontId="11" fillId="0" borderId="0" xfId="0" applyFont="1" applyFill="1" applyBorder="1" applyAlignment="1">
      <alignment wrapText="1"/>
    </xf>
    <xf numFmtId="0" fontId="11" fillId="0" borderId="0" xfId="0" applyFont="1" applyFill="1" applyAlignment="1">
      <alignment horizontal="center" wrapText="1"/>
    </xf>
    <xf numFmtId="0" fontId="5" fillId="0" borderId="0" xfId="1" applyFont="1" applyFill="1" applyAlignment="1">
      <alignment wrapText="1"/>
    </xf>
    <xf numFmtId="0" fontId="6" fillId="2" borderId="2" xfId="1" applyFont="1" applyFill="1" applyBorder="1" applyAlignment="1">
      <alignment horizontal="center" vertical="center" wrapText="1"/>
    </xf>
    <xf numFmtId="0" fontId="6" fillId="0" borderId="0" xfId="1" applyFont="1" applyFill="1" applyAlignment="1">
      <alignment horizontal="center" wrapText="1"/>
    </xf>
    <xf numFmtId="0" fontId="6" fillId="2" borderId="1" xfId="1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 wrapText="1"/>
    </xf>
    <xf numFmtId="0" fontId="6" fillId="0" borderId="0" xfId="1" applyFont="1" applyAlignment="1">
      <alignment horizontal="center" vertical="top" wrapText="1"/>
    </xf>
    <xf numFmtId="0" fontId="5" fillId="0" borderId="0" xfId="1" applyFont="1" applyBorder="1" applyAlignment="1">
      <alignment wrapText="1"/>
    </xf>
    <xf numFmtId="49" fontId="5" fillId="0" borderId="0" xfId="0" applyNumberFormat="1" applyFont="1" applyBorder="1" applyAlignment="1">
      <alignment horizontal="center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0" xfId="1" applyFont="1" applyFill="1" applyBorder="1" applyAlignment="1">
      <alignment horizontal="left" vertical="top" wrapText="1"/>
    </xf>
    <xf numFmtId="0" fontId="5" fillId="0" borderId="0" xfId="1" applyFont="1" applyFill="1" applyBorder="1" applyAlignment="1">
      <alignment horizontal="center" vertical="top" wrapText="1"/>
    </xf>
    <xf numFmtId="164" fontId="5" fillId="0" borderId="0" xfId="1" applyNumberFormat="1" applyFont="1" applyFill="1" applyBorder="1" applyAlignment="1">
      <alignment horizontal="center" vertical="top" wrapText="1"/>
    </xf>
    <xf numFmtId="0" fontId="5" fillId="0" borderId="0" xfId="0" applyFont="1" applyBorder="1" applyAlignment="1">
      <alignment horizontal="center" vertical="top" wrapText="1"/>
    </xf>
    <xf numFmtId="165" fontId="5" fillId="0" borderId="0" xfId="0" applyNumberFormat="1" applyFont="1" applyBorder="1" applyAlignment="1">
      <alignment horizontal="center" vertical="top" wrapText="1"/>
    </xf>
    <xf numFmtId="0" fontId="5" fillId="0" borderId="0" xfId="1" applyFont="1" applyAlignment="1">
      <alignment horizontal="center" vertical="top" wrapText="1"/>
    </xf>
    <xf numFmtId="0" fontId="0" fillId="0" borderId="0" xfId="0" applyAlignment="1">
      <alignment wrapText="1"/>
    </xf>
    <xf numFmtId="0" fontId="5" fillId="0" borderId="0" xfId="1" applyFont="1" applyFill="1" applyBorder="1" applyAlignment="1">
      <alignment wrapText="1"/>
    </xf>
    <xf numFmtId="0" fontId="13" fillId="0" borderId="7" xfId="0" applyFont="1" applyBorder="1" applyAlignment="1" applyProtection="1">
      <alignment wrapText="1"/>
    </xf>
    <xf numFmtId="0" fontId="5" fillId="0" borderId="0" xfId="1" applyFont="1" applyFill="1" applyBorder="1" applyAlignment="1">
      <alignment horizontal="left" wrapText="1"/>
    </xf>
    <xf numFmtId="0" fontId="0" fillId="3" borderId="0" xfId="0" applyFill="1" applyBorder="1"/>
    <xf numFmtId="0" fontId="0" fillId="3" borderId="8" xfId="0" applyFill="1" applyBorder="1"/>
    <xf numFmtId="0" fontId="0" fillId="3" borderId="0" xfId="0" applyFill="1"/>
    <xf numFmtId="0" fontId="6" fillId="0" borderId="0" xfId="1" applyFont="1" applyAlignment="1">
      <alignment horizontal="center" vertical="top" wrapText="1"/>
    </xf>
    <xf numFmtId="0" fontId="6" fillId="0" borderId="7" xfId="1" applyFont="1" applyBorder="1" applyAlignment="1">
      <alignment wrapText="1"/>
    </xf>
    <xf numFmtId="0" fontId="6" fillId="0" borderId="4" xfId="1" applyFont="1" applyBorder="1" applyAlignment="1">
      <alignment wrapText="1"/>
    </xf>
    <xf numFmtId="0" fontId="5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center" vertical="top" wrapText="1"/>
    </xf>
    <xf numFmtId="165" fontId="5" fillId="3" borderId="1" xfId="0" applyNumberFormat="1" applyFont="1" applyFill="1" applyBorder="1" applyAlignment="1">
      <alignment horizontal="center" vertical="top" wrapText="1"/>
    </xf>
    <xf numFmtId="49" fontId="5" fillId="3" borderId="1" xfId="0" applyNumberFormat="1" applyFont="1" applyFill="1" applyBorder="1" applyAlignment="1">
      <alignment horizontal="center" vertical="top" wrapText="1"/>
    </xf>
    <xf numFmtId="164" fontId="5" fillId="3" borderId="1" xfId="0" applyNumberFormat="1" applyFont="1" applyFill="1" applyBorder="1" applyAlignment="1">
      <alignment horizontal="center" vertical="top" wrapText="1"/>
    </xf>
    <xf numFmtId="49" fontId="5" fillId="3" borderId="1" xfId="0" applyNumberFormat="1" applyFont="1" applyFill="1" applyBorder="1" applyAlignment="1">
      <alignment horizontal="left" vertical="top" wrapText="1"/>
    </xf>
    <xf numFmtId="0" fontId="0" fillId="0" borderId="1" xfId="0" applyBorder="1" applyAlignment="1">
      <alignment wrapText="1"/>
    </xf>
    <xf numFmtId="0" fontId="5" fillId="0" borderId="1" xfId="1" applyFont="1" applyBorder="1" applyAlignment="1">
      <alignment wrapText="1"/>
    </xf>
    <xf numFmtId="0" fontId="5" fillId="0" borderId="1" xfId="1" applyFont="1" applyBorder="1" applyAlignment="1">
      <alignment horizontal="center" wrapText="1"/>
    </xf>
    <xf numFmtId="0" fontId="6" fillId="2" borderId="2" xfId="1" applyFont="1" applyFill="1" applyBorder="1" applyAlignment="1">
      <alignment horizontal="center" vertical="center" wrapText="1"/>
    </xf>
    <xf numFmtId="0" fontId="6" fillId="0" borderId="0" xfId="1" applyFont="1" applyFill="1" applyAlignment="1">
      <alignment horizontal="center" wrapText="1"/>
    </xf>
    <xf numFmtId="0" fontId="9" fillId="0" borderId="0" xfId="1" applyFont="1" applyFill="1" applyAlignment="1">
      <alignment horizontal="left" wrapText="1"/>
    </xf>
    <xf numFmtId="0" fontId="0" fillId="3" borderId="6" xfId="0" applyFill="1" applyBorder="1" applyAlignment="1" applyProtection="1">
      <alignment vertical="top" wrapText="1"/>
    </xf>
    <xf numFmtId="0" fontId="10" fillId="3" borderId="6" xfId="0" applyFont="1" applyFill="1" applyBorder="1" applyAlignment="1" applyProtection="1">
      <alignment vertical="top" wrapText="1"/>
    </xf>
    <xf numFmtId="0" fontId="0" fillId="3" borderId="6" xfId="0" applyFill="1" applyBorder="1" applyAlignment="1" applyProtection="1">
      <alignment horizontal="center" vertical="top" wrapText="1"/>
    </xf>
    <xf numFmtId="0" fontId="6" fillId="0" borderId="0" xfId="1" applyFont="1" applyAlignment="1">
      <alignment horizontal="center" wrapText="1"/>
    </xf>
    <xf numFmtId="0" fontId="6" fillId="0" borderId="0" xfId="1" applyFont="1" applyAlignment="1">
      <alignment horizontal="left" wrapText="1"/>
    </xf>
    <xf numFmtId="0" fontId="5" fillId="0" borderId="0" xfId="1" applyFont="1" applyAlignment="1">
      <alignment horizontal="left" wrapText="1"/>
    </xf>
    <xf numFmtId="0" fontId="6" fillId="0" borderId="7" xfId="1" applyFont="1" applyBorder="1" applyAlignment="1">
      <alignment horizontal="left" wrapText="1"/>
    </xf>
    <xf numFmtId="0" fontId="6" fillId="0" borderId="4" xfId="1" applyFont="1" applyBorder="1" applyAlignment="1">
      <alignment horizontal="left" wrapText="1"/>
    </xf>
    <xf numFmtId="0" fontId="5" fillId="0" borderId="0" xfId="1" applyFont="1" applyFill="1" applyAlignment="1">
      <alignment horizontal="left" wrapText="1"/>
    </xf>
    <xf numFmtId="0" fontId="6" fillId="0" borderId="0" xfId="0" applyFont="1" applyAlignment="1">
      <alignment horizontal="left" wrapText="1"/>
    </xf>
    <xf numFmtId="0" fontId="0" fillId="3" borderId="6" xfId="0" applyFont="1" applyFill="1" applyBorder="1" applyAlignment="1" applyProtection="1">
      <alignment vertical="top" wrapText="1"/>
    </xf>
    <xf numFmtId="0" fontId="10" fillId="3" borderId="6" xfId="0" applyFont="1" applyFill="1" applyBorder="1" applyAlignment="1" applyProtection="1">
      <alignment horizontal="center" vertical="top" wrapText="1"/>
    </xf>
    <xf numFmtId="0" fontId="0" fillId="3" borderId="6" xfId="0" applyFont="1" applyFill="1" applyBorder="1" applyAlignment="1" applyProtection="1">
      <alignment horizontal="center" vertical="top" wrapText="1"/>
    </xf>
    <xf numFmtId="0" fontId="0" fillId="3" borderId="6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wrapText="1"/>
    </xf>
    <xf numFmtId="0" fontId="10" fillId="0" borderId="0" xfId="0" applyFont="1" applyFill="1" applyAlignment="1">
      <alignment horizontal="center" wrapText="1"/>
    </xf>
    <xf numFmtId="0" fontId="6" fillId="0" borderId="0" xfId="1" applyFont="1" applyFill="1" applyAlignment="1">
      <alignment horizontal="center" wrapText="1"/>
    </xf>
    <xf numFmtId="49" fontId="5" fillId="0" borderId="1" xfId="0" applyNumberFormat="1" applyFont="1" applyFill="1" applyBorder="1" applyAlignment="1">
      <alignment horizontal="center" vertical="top" wrapText="1"/>
    </xf>
    <xf numFmtId="49" fontId="5" fillId="0" borderId="1" xfId="0" applyNumberFormat="1" applyFont="1" applyFill="1" applyBorder="1" applyAlignment="1">
      <alignment vertical="top" wrapText="1"/>
    </xf>
    <xf numFmtId="0" fontId="5" fillId="0" borderId="1" xfId="0" applyFont="1" applyFill="1" applyBorder="1" applyAlignment="1">
      <alignment horizontal="left" vertical="top" wrapText="1"/>
    </xf>
    <xf numFmtId="0" fontId="5" fillId="0" borderId="1" xfId="0" applyFont="1" applyFill="1" applyBorder="1" applyAlignment="1">
      <alignment horizontal="center" vertical="top" wrapText="1"/>
    </xf>
    <xf numFmtId="49" fontId="5" fillId="0" borderId="1" xfId="0" applyNumberFormat="1" applyFont="1" applyFill="1" applyBorder="1" applyAlignment="1" applyProtection="1">
      <alignment horizontal="center" vertical="top" wrapText="1"/>
      <protection locked="0"/>
    </xf>
    <xf numFmtId="0" fontId="0" fillId="0" borderId="6" xfId="0" applyFont="1" applyFill="1" applyBorder="1" applyAlignment="1" applyProtection="1">
      <alignment vertical="top" wrapText="1"/>
    </xf>
    <xf numFmtId="0" fontId="0" fillId="0" borderId="6" xfId="0" applyFill="1" applyBorder="1" applyAlignment="1" applyProtection="1">
      <alignment vertical="top" wrapText="1"/>
    </xf>
    <xf numFmtId="49" fontId="5" fillId="0" borderId="2" xfId="0" applyNumberFormat="1" applyFont="1" applyFill="1" applyBorder="1" applyAlignment="1">
      <alignment vertical="top" wrapText="1"/>
    </xf>
    <xf numFmtId="0" fontId="0" fillId="0" borderId="6" xfId="0" applyFill="1" applyBorder="1" applyAlignment="1" applyProtection="1">
      <alignment horizontal="center" vertical="top" wrapText="1"/>
    </xf>
    <xf numFmtId="0" fontId="10" fillId="0" borderId="6" xfId="0" applyFont="1" applyFill="1" applyBorder="1" applyAlignment="1" applyProtection="1">
      <alignment horizontal="center" vertical="top" wrapText="1"/>
    </xf>
    <xf numFmtId="0" fontId="10" fillId="0" borderId="6" xfId="0" applyFont="1" applyFill="1" applyBorder="1" applyAlignment="1" applyProtection="1">
      <alignment vertical="top" wrapText="1"/>
    </xf>
    <xf numFmtId="0" fontId="0" fillId="0" borderId="6" xfId="0" applyFont="1" applyFill="1" applyBorder="1" applyAlignment="1" applyProtection="1">
      <alignment vertical="top"/>
    </xf>
    <xf numFmtId="0" fontId="0" fillId="0" borderId="6" xfId="0" applyFont="1" applyFill="1" applyBorder="1" applyAlignment="1" applyProtection="1">
      <alignment horizontal="center" vertical="top" wrapText="1"/>
    </xf>
    <xf numFmtId="0" fontId="0" fillId="0" borderId="6" xfId="0" applyFont="1" applyFill="1" applyBorder="1" applyAlignment="1" applyProtection="1">
      <alignment horizontal="left" vertical="top" wrapText="1"/>
    </xf>
    <xf numFmtId="0" fontId="0" fillId="0" borderId="6" xfId="0" applyFont="1" applyFill="1" applyBorder="1" applyAlignment="1" applyProtection="1">
      <alignment horizontal="center" vertical="center" wrapText="1"/>
    </xf>
    <xf numFmtId="49" fontId="5" fillId="0" borderId="0" xfId="0" applyNumberFormat="1" applyFont="1" applyFill="1" applyBorder="1" applyAlignment="1" applyProtection="1">
      <alignment horizontal="center" vertical="top" wrapText="1"/>
      <protection locked="0"/>
    </xf>
    <xf numFmtId="49" fontId="5" fillId="0" borderId="0" xfId="0" applyNumberFormat="1" applyFont="1" applyFill="1" applyBorder="1" applyAlignment="1">
      <alignment vertical="top" wrapText="1"/>
    </xf>
    <xf numFmtId="0" fontId="5" fillId="0" borderId="0" xfId="0" applyFont="1" applyFill="1" applyBorder="1" applyAlignment="1">
      <alignment horizontal="left" vertical="top" wrapText="1"/>
    </xf>
    <xf numFmtId="49" fontId="5" fillId="0" borderId="0" xfId="0" applyNumberFormat="1" applyFont="1" applyFill="1" applyBorder="1" applyAlignment="1">
      <alignment horizontal="center" vertical="top" wrapText="1"/>
    </xf>
    <xf numFmtId="0" fontId="13" fillId="0" borderId="0" xfId="0" applyFont="1" applyFill="1" applyBorder="1" applyAlignment="1" applyProtection="1">
      <alignment horizontal="center" vertical="top" wrapText="1"/>
    </xf>
    <xf numFmtId="0" fontId="10" fillId="0" borderId="0" xfId="0" applyFont="1" applyFill="1" applyBorder="1" applyAlignment="1" applyProtection="1">
      <alignment vertical="top" wrapText="1"/>
    </xf>
    <xf numFmtId="0" fontId="0" fillId="0" borderId="0" xfId="0" applyFont="1" applyFill="1" applyBorder="1" applyAlignment="1" applyProtection="1">
      <alignment horizontal="center" vertical="center" wrapText="1"/>
    </xf>
    <xf numFmtId="0" fontId="0" fillId="3" borderId="0" xfId="0" applyFont="1" applyFill="1" applyBorder="1" applyAlignment="1" applyProtection="1">
      <alignment horizontal="center" vertical="center" wrapText="1"/>
    </xf>
    <xf numFmtId="0" fontId="5" fillId="0" borderId="0" xfId="1" applyFont="1" applyBorder="1" applyAlignment="1">
      <alignment horizontal="center" wrapText="1"/>
    </xf>
    <xf numFmtId="0" fontId="0" fillId="0" borderId="0" xfId="0" applyBorder="1" applyAlignment="1">
      <alignment wrapText="1"/>
    </xf>
    <xf numFmtId="0" fontId="6" fillId="2" borderId="2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6" fillId="0" borderId="0" xfId="1" applyFont="1" applyFill="1" applyAlignment="1">
      <alignment horizontal="center" wrapText="1"/>
    </xf>
    <xf numFmtId="0" fontId="6" fillId="2" borderId="2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left" vertical="center" wrapText="1"/>
    </xf>
    <xf numFmtId="0" fontId="6" fillId="2" borderId="1" xfId="1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 wrapText="1"/>
    </xf>
    <xf numFmtId="0" fontId="6" fillId="0" borderId="0" xfId="1" applyFont="1" applyAlignment="1">
      <alignment horizontal="center" vertical="top" wrapText="1"/>
    </xf>
    <xf numFmtId="0" fontId="5" fillId="0" borderId="0" xfId="1" applyFont="1" applyAlignment="1">
      <alignment horizontal="left" vertical="top" wrapText="1"/>
    </xf>
    <xf numFmtId="49" fontId="5" fillId="0" borderId="1" xfId="0" applyNumberFormat="1" applyFont="1" applyBorder="1" applyAlignment="1">
      <alignment horizontal="center" vertical="top" wrapText="1"/>
    </xf>
    <xf numFmtId="2" fontId="5" fillId="0" borderId="1" xfId="0" applyNumberFormat="1" applyFont="1" applyBorder="1" applyAlignment="1">
      <alignment horizontal="center" vertical="top" wrapText="1"/>
    </xf>
    <xf numFmtId="2" fontId="5" fillId="0" borderId="0" xfId="0" applyNumberFormat="1" applyFont="1" applyFill="1" applyBorder="1" applyAlignment="1">
      <alignment horizontal="left" vertical="top" wrapText="1"/>
    </xf>
    <xf numFmtId="0" fontId="13" fillId="0" borderId="7" xfId="0" applyFont="1" applyBorder="1" applyAlignment="1">
      <alignment wrapText="1"/>
    </xf>
    <xf numFmtId="165" fontId="5" fillId="0" borderId="0" xfId="0" applyNumberFormat="1" applyFont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0" xfId="0" applyFont="1" applyAlignment="1">
      <alignment horizontal="left" vertical="top" wrapText="1"/>
    </xf>
    <xf numFmtId="164" fontId="5" fillId="0" borderId="0" xfId="1" applyNumberFormat="1" applyFont="1" applyAlignment="1">
      <alignment horizontal="center" vertical="top" wrapText="1"/>
    </xf>
    <xf numFmtId="49" fontId="5" fillId="0" borderId="0" xfId="0" applyNumberFormat="1" applyFont="1" applyAlignment="1">
      <alignment horizontal="center" vertical="top" wrapText="1"/>
    </xf>
    <xf numFmtId="0" fontId="0" fillId="3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0" fillId="0" borderId="0" xfId="0" applyFont="1" applyAlignment="1">
      <alignment vertical="top" wrapText="1"/>
    </xf>
    <xf numFmtId="0" fontId="13" fillId="0" borderId="0" xfId="0" applyFont="1" applyAlignment="1">
      <alignment horizontal="center" vertical="top" wrapText="1"/>
    </xf>
    <xf numFmtId="49" fontId="5" fillId="0" borderId="0" xfId="0" applyNumberFormat="1" applyFont="1" applyAlignment="1">
      <alignment vertical="top" wrapText="1"/>
    </xf>
    <xf numFmtId="49" fontId="5" fillId="0" borderId="0" xfId="0" applyNumberFormat="1" applyFont="1" applyAlignment="1" applyProtection="1">
      <alignment horizontal="center" vertical="top" wrapText="1"/>
      <protection locked="0"/>
    </xf>
    <xf numFmtId="0" fontId="0" fillId="3" borderId="6" xfId="0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10" fillId="0" borderId="6" xfId="0" applyFont="1" applyBorder="1" applyAlignment="1">
      <alignment vertical="top" wrapText="1"/>
    </xf>
    <xf numFmtId="0" fontId="5" fillId="0" borderId="1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left" vertical="top" wrapText="1"/>
    </xf>
    <xf numFmtId="49" fontId="5" fillId="0" borderId="1" xfId="0" applyNumberFormat="1" applyFont="1" applyBorder="1" applyAlignment="1">
      <alignment vertical="top" wrapText="1"/>
    </xf>
    <xf numFmtId="49" fontId="5" fillId="0" borderId="1" xfId="0" applyNumberFormat="1" applyFont="1" applyBorder="1" applyAlignment="1" applyProtection="1">
      <alignment horizontal="center" vertical="top" wrapText="1"/>
      <protection locked="0"/>
    </xf>
    <xf numFmtId="0" fontId="10" fillId="3" borderId="6" xfId="0" applyFont="1" applyFill="1" applyBorder="1" applyAlignment="1">
      <alignment vertical="top" wrapText="1"/>
    </xf>
    <xf numFmtId="0" fontId="0" fillId="3" borderId="6" xfId="0" applyFill="1" applyBorder="1" applyAlignment="1">
      <alignment horizontal="center" vertical="top" wrapText="1"/>
    </xf>
    <xf numFmtId="0" fontId="0" fillId="0" borderId="6" xfId="0" applyBorder="1" applyAlignment="1">
      <alignment horizontal="center" vertical="top" wrapText="1"/>
    </xf>
    <xf numFmtId="0" fontId="0" fillId="0" borderId="6" xfId="0" applyBorder="1" applyAlignment="1">
      <alignment horizontal="left" vertical="top" wrapText="1"/>
    </xf>
    <xf numFmtId="0" fontId="0" fillId="3" borderId="6" xfId="0" applyFill="1" applyBorder="1" applyAlignment="1">
      <alignment vertical="top" wrapText="1"/>
    </xf>
    <xf numFmtId="0" fontId="0" fillId="0" borderId="6" xfId="0" applyBorder="1" applyAlignment="1">
      <alignment vertical="top" wrapText="1"/>
    </xf>
    <xf numFmtId="0" fontId="0" fillId="0" borderId="6" xfId="0" applyBorder="1" applyAlignment="1">
      <alignment vertical="top"/>
    </xf>
    <xf numFmtId="0" fontId="10" fillId="3" borderId="6" xfId="0" applyFont="1" applyFill="1" applyBorder="1" applyAlignment="1">
      <alignment horizontal="center" vertical="top" wrapText="1"/>
    </xf>
    <xf numFmtId="0" fontId="10" fillId="0" borderId="6" xfId="0" applyFont="1" applyBorder="1" applyAlignment="1">
      <alignment horizontal="center" vertical="top" wrapText="1"/>
    </xf>
    <xf numFmtId="0" fontId="10" fillId="0" borderId="0" xfId="0" applyFont="1" applyAlignment="1">
      <alignment wrapText="1"/>
    </xf>
    <xf numFmtId="0" fontId="11" fillId="0" borderId="0" xfId="0" applyFont="1" applyAlignment="1">
      <alignment horizontal="center" wrapText="1"/>
    </xf>
    <xf numFmtId="0" fontId="11" fillId="0" borderId="0" xfId="0" applyFont="1" applyAlignment="1">
      <alignment wrapText="1"/>
    </xf>
    <xf numFmtId="0" fontId="10" fillId="0" borderId="0" xfId="0" applyFont="1" applyAlignment="1">
      <alignment horizontal="center" wrapText="1"/>
    </xf>
    <xf numFmtId="0" fontId="9" fillId="0" borderId="0" xfId="1" applyFont="1" applyAlignment="1">
      <alignment horizontal="center" wrapText="1"/>
    </xf>
    <xf numFmtId="0" fontId="9" fillId="0" borderId="0" xfId="1" applyFont="1" applyAlignment="1">
      <alignment horizontal="left" wrapText="1"/>
    </xf>
    <xf numFmtId="0" fontId="11" fillId="0" borderId="0" xfId="1" applyFont="1" applyAlignment="1">
      <alignment wrapText="1"/>
    </xf>
    <xf numFmtId="0" fontId="11" fillId="0" borderId="0" xfId="1" applyFont="1" applyAlignment="1">
      <alignment horizontal="left" wrapText="1"/>
    </xf>
    <xf numFmtId="0" fontId="11" fillId="0" borderId="0" xfId="1" applyFont="1" applyAlignment="1">
      <alignment horizontal="left" vertical="top" wrapText="1"/>
    </xf>
    <xf numFmtId="49" fontId="5" fillId="0" borderId="0" xfId="0" applyNumberFormat="1" applyFont="1" applyAlignment="1">
      <alignment horizontal="left" vertical="top" wrapText="1"/>
    </xf>
    <xf numFmtId="164" fontId="5" fillId="0" borderId="0" xfId="0" applyNumberFormat="1" applyFont="1" applyAlignment="1">
      <alignment horizontal="center" vertical="top" wrapText="1"/>
    </xf>
    <xf numFmtId="0" fontId="0" fillId="0" borderId="0" xfId="0" applyAlignment="1">
      <alignment horizontal="left" vertical="top" wrapText="1"/>
    </xf>
    <xf numFmtId="0" fontId="5" fillId="0" borderId="0" xfId="0" applyFont="1" applyAlignment="1">
      <alignment vertical="top" wrapText="1"/>
    </xf>
    <xf numFmtId="0" fontId="13" fillId="0" borderId="0" xfId="0" applyFont="1" applyAlignment="1" applyProtection="1">
      <alignment horizontal="center" vertical="top" wrapText="1"/>
      <protection locked="0"/>
    </xf>
    <xf numFmtId="0" fontId="17" fillId="0" borderId="0" xfId="0" applyFont="1" applyAlignment="1">
      <alignment vertical="top" wrapText="1"/>
    </xf>
    <xf numFmtId="49" fontId="5" fillId="3" borderId="0" xfId="0" applyNumberFormat="1" applyFont="1" applyFill="1" applyAlignment="1">
      <alignment horizontal="left" vertical="top" wrapText="1"/>
    </xf>
    <xf numFmtId="0" fontId="5" fillId="3" borderId="0" xfId="0" applyFont="1" applyFill="1" applyAlignment="1">
      <alignment horizontal="left" vertical="top" wrapText="1"/>
    </xf>
    <xf numFmtId="164" fontId="5" fillId="3" borderId="0" xfId="0" applyNumberFormat="1" applyFont="1" applyFill="1" applyAlignment="1">
      <alignment horizontal="center" vertical="top" wrapText="1"/>
    </xf>
    <xf numFmtId="0" fontId="5" fillId="3" borderId="0" xfId="0" applyFont="1" applyFill="1" applyAlignment="1">
      <alignment horizontal="center" vertical="top" wrapText="1"/>
    </xf>
    <xf numFmtId="49" fontId="5" fillId="3" borderId="0" xfId="0" applyNumberFormat="1" applyFont="1" applyFill="1" applyAlignment="1">
      <alignment horizontal="center" vertical="top" wrapText="1"/>
    </xf>
    <xf numFmtId="165" fontId="5" fillId="3" borderId="0" xfId="0" applyNumberFormat="1" applyFont="1" applyFill="1" applyAlignment="1">
      <alignment horizontal="center" vertical="top" wrapText="1"/>
    </xf>
    <xf numFmtId="2" fontId="0" fillId="3" borderId="0" xfId="0" applyNumberFormat="1" applyFill="1"/>
    <xf numFmtId="49" fontId="5" fillId="3" borderId="2" xfId="0" applyNumberFormat="1" applyFont="1" applyFill="1" applyBorder="1" applyAlignment="1">
      <alignment horizontal="left" vertical="top" wrapText="1"/>
    </xf>
    <xf numFmtId="0" fontId="5" fillId="3" borderId="2" xfId="0" applyFont="1" applyFill="1" applyBorder="1" applyAlignment="1">
      <alignment horizontal="left" vertical="top" wrapText="1"/>
    </xf>
    <xf numFmtId="164" fontId="5" fillId="3" borderId="2" xfId="0" applyNumberFormat="1" applyFont="1" applyFill="1" applyBorder="1" applyAlignment="1">
      <alignment horizontal="center" vertical="top" wrapText="1"/>
    </xf>
    <xf numFmtId="0" fontId="5" fillId="3" borderId="2" xfId="0" applyFont="1" applyFill="1" applyBorder="1" applyAlignment="1">
      <alignment horizontal="center" vertical="top" wrapText="1"/>
    </xf>
    <xf numFmtId="49" fontId="5" fillId="3" borderId="2" xfId="0" applyNumberFormat="1" applyFont="1" applyFill="1" applyBorder="1" applyAlignment="1">
      <alignment horizontal="center" vertical="top" wrapText="1"/>
    </xf>
    <xf numFmtId="0" fontId="13" fillId="3" borderId="1" xfId="0" applyFont="1" applyFill="1" applyBorder="1" applyAlignment="1">
      <alignment vertical="top" wrapText="1"/>
    </xf>
    <xf numFmtId="0" fontId="13" fillId="3" borderId="1" xfId="0" applyFont="1" applyFill="1" applyBorder="1" applyAlignment="1">
      <alignment vertical="center" wrapText="1"/>
    </xf>
    <xf numFmtId="0" fontId="9" fillId="2" borderId="2" xfId="1" applyFont="1" applyFill="1" applyBorder="1" applyAlignment="1">
      <alignment horizontal="center" vertical="center" wrapText="1"/>
    </xf>
    <xf numFmtId="0" fontId="9" fillId="0" borderId="0" xfId="1" applyFont="1" applyAlignment="1">
      <alignment vertical="top" wrapText="1"/>
    </xf>
    <xf numFmtId="0" fontId="11" fillId="0" borderId="0" xfId="1" applyFont="1" applyAlignment="1">
      <alignment vertical="top" wrapText="1"/>
    </xf>
    <xf numFmtId="0" fontId="14" fillId="0" borderId="9" xfId="0" applyFont="1" applyBorder="1" applyAlignment="1" applyProtection="1">
      <alignment horizontal="center" vertical="top" wrapText="1"/>
    </xf>
    <xf numFmtId="0" fontId="6" fillId="2" borderId="2" xfId="1" applyFont="1" applyFill="1" applyBorder="1" applyAlignment="1">
      <alignment horizontal="center" vertical="center" wrapText="1"/>
    </xf>
    <xf numFmtId="0" fontId="6" fillId="2" borderId="6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left" vertical="center" wrapText="1"/>
    </xf>
    <xf numFmtId="0" fontId="6" fillId="2" borderId="6" xfId="1" applyFont="1" applyFill="1" applyBorder="1" applyAlignment="1">
      <alignment horizontal="left" vertical="center" wrapText="1"/>
    </xf>
    <xf numFmtId="0" fontId="10" fillId="2" borderId="6" xfId="0" applyFont="1" applyFill="1" applyBorder="1" applyAlignment="1">
      <alignment horizontal="center" vertical="center" wrapText="1"/>
    </xf>
    <xf numFmtId="0" fontId="6" fillId="2" borderId="3" xfId="1" applyFont="1" applyFill="1" applyBorder="1" applyAlignment="1">
      <alignment horizontal="center" vertical="center" wrapText="1"/>
    </xf>
    <xf numFmtId="0" fontId="12" fillId="2" borderId="4" xfId="0" applyFont="1" applyFill="1" applyBorder="1" applyAlignment="1">
      <alignment horizontal="center" vertical="center" wrapText="1"/>
    </xf>
    <xf numFmtId="0" fontId="12" fillId="2" borderId="5" xfId="0" applyFont="1" applyFill="1" applyBorder="1" applyAlignment="1">
      <alignment horizontal="center" vertical="center" wrapText="1"/>
    </xf>
    <xf numFmtId="49" fontId="6" fillId="0" borderId="0" xfId="0" applyNumberFormat="1" applyFont="1" applyBorder="1" applyAlignment="1">
      <alignment horizontal="left" vertical="top" wrapText="1"/>
    </xf>
    <xf numFmtId="0" fontId="13" fillId="0" borderId="7" xfId="0" applyFont="1" applyBorder="1" applyAlignment="1" applyProtection="1">
      <alignment horizontal="center" wrapText="1"/>
    </xf>
    <xf numFmtId="0" fontId="6" fillId="2" borderId="1" xfId="1" applyFont="1" applyFill="1" applyBorder="1" applyAlignment="1">
      <alignment horizontal="center" vertical="center" wrapText="1"/>
    </xf>
    <xf numFmtId="0" fontId="6" fillId="2" borderId="4" xfId="1" applyFont="1" applyFill="1" applyBorder="1" applyAlignment="1">
      <alignment horizontal="center" vertical="center" wrapText="1"/>
    </xf>
    <xf numFmtId="0" fontId="6" fillId="2" borderId="5" xfId="1" applyFont="1" applyFill="1" applyBorder="1" applyAlignment="1">
      <alignment horizontal="center" vertical="center" wrapText="1"/>
    </xf>
    <xf numFmtId="0" fontId="6" fillId="0" borderId="0" xfId="1" applyFont="1" applyFill="1" applyAlignment="1">
      <alignment horizontal="center" wrapText="1"/>
    </xf>
    <xf numFmtId="0" fontId="9" fillId="2" borderId="1" xfId="0" applyFont="1" applyFill="1" applyBorder="1" applyAlignment="1">
      <alignment horizontal="center" vertical="center" wrapText="1"/>
    </xf>
    <xf numFmtId="0" fontId="6" fillId="2" borderId="10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0" fontId="6" fillId="0" borderId="0" xfId="1" applyFont="1" applyAlignment="1">
      <alignment horizontal="center" vertical="top" wrapText="1"/>
    </xf>
    <xf numFmtId="0" fontId="5" fillId="0" borderId="0" xfId="1" applyFont="1" applyAlignment="1">
      <alignment horizontal="left" vertical="top" wrapText="1"/>
    </xf>
    <xf numFmtId="0" fontId="6" fillId="0" borderId="9" xfId="1" applyFont="1" applyBorder="1" applyAlignment="1">
      <alignment horizontal="center" wrapText="1"/>
    </xf>
    <xf numFmtId="0" fontId="9" fillId="0" borderId="0" xfId="1" applyFont="1" applyFill="1" applyAlignment="1">
      <alignment horizontal="left" wrapText="1"/>
    </xf>
    <xf numFmtId="0" fontId="5" fillId="0" borderId="0" xfId="1" applyFont="1" applyBorder="1" applyAlignment="1">
      <alignment horizontal="left" vertical="top" wrapText="1"/>
    </xf>
    <xf numFmtId="0" fontId="14" fillId="0" borderId="9" xfId="0" applyFont="1" applyBorder="1" applyAlignment="1">
      <alignment horizontal="center" vertical="top" wrapText="1"/>
    </xf>
    <xf numFmtId="49" fontId="6" fillId="0" borderId="0" xfId="0" applyNumberFormat="1" applyFont="1" applyAlignment="1">
      <alignment horizontal="left" vertical="top" wrapText="1"/>
    </xf>
    <xf numFmtId="0" fontId="13" fillId="0" borderId="7" xfId="0" applyFont="1" applyBorder="1" applyAlignment="1">
      <alignment horizontal="center" wrapText="1"/>
    </xf>
    <xf numFmtId="0" fontId="9" fillId="0" borderId="0" xfId="1" applyFont="1" applyAlignment="1">
      <alignment horizontal="left" wrapText="1"/>
    </xf>
    <xf numFmtId="0" fontId="6" fillId="0" borderId="0" xfId="1" applyFont="1" applyAlignment="1">
      <alignment horizontal="center" wrapText="1"/>
    </xf>
  </cellXfs>
  <cellStyles count="13">
    <cellStyle name="AFE" xfId="1" xr:uid="{00000000-0005-0000-0000-000000000000}"/>
    <cellStyle name="Обычный" xfId="0" builtinId="0"/>
    <cellStyle name="Обычный 2" xfId="2" xr:uid="{00000000-0005-0000-0000-000002000000}"/>
    <cellStyle name="Обычный 2 2" xfId="5" xr:uid="{00000000-0005-0000-0000-000003000000}"/>
    <cellStyle name="Обычный 2 2 2" xfId="11" xr:uid="{00000000-0005-0000-0000-000004000000}"/>
    <cellStyle name="Обычный 2 3" xfId="3" xr:uid="{00000000-0005-0000-0000-000005000000}"/>
    <cellStyle name="Обычный 2 3 2" xfId="10" xr:uid="{00000000-0005-0000-0000-000006000000}"/>
    <cellStyle name="Обычный 2 4" xfId="9" xr:uid="{00000000-0005-0000-0000-000007000000}"/>
    <cellStyle name="Обычный 2 5" xfId="8" xr:uid="{00000000-0005-0000-0000-000008000000}"/>
    <cellStyle name="Обычный 2 6" xfId="7" xr:uid="{00000000-0005-0000-0000-000009000000}"/>
    <cellStyle name="Обычный 2 7" xfId="6" xr:uid="{00000000-0005-0000-0000-00000A000000}"/>
    <cellStyle name="Обычный 3" xfId="4" xr:uid="{00000000-0005-0000-0000-00000B000000}"/>
    <cellStyle name="Обычный 4" xfId="12" xr:uid="{00000000-0005-0000-0000-00000C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IY44"/>
  <sheetViews>
    <sheetView tabSelected="1" zoomScale="85" zoomScaleNormal="85" workbookViewId="0">
      <selection activeCell="C19" sqref="C19"/>
    </sheetView>
  </sheetViews>
  <sheetFormatPr defaultRowHeight="15" outlineLevelCol="1" x14ac:dyDescent="0.25"/>
  <cols>
    <col min="1" max="1" width="7.140625" style="3" bestFit="1" customWidth="1"/>
    <col min="2" max="2" width="13.7109375" style="1" customWidth="1"/>
    <col min="3" max="3" width="41.7109375" style="64" bestFit="1" customWidth="1"/>
    <col min="4" max="4" width="13.7109375" style="1" customWidth="1"/>
    <col min="5" max="7" width="15.5703125" style="1" customWidth="1"/>
    <col min="8" max="8" width="11.85546875" style="1" customWidth="1"/>
    <col min="9" max="9" width="45.5703125" style="22" customWidth="1" outlineLevel="1"/>
    <col min="10" max="10" width="13" style="22" customWidth="1" outlineLevel="1"/>
    <col min="11" max="13" width="10" style="22" customWidth="1" outlineLevel="1"/>
    <col min="14" max="14" width="35" style="73" customWidth="1"/>
    <col min="15" max="15" width="14.7109375" style="73" customWidth="1"/>
    <col min="16" max="16" width="18.85546875" style="1" customWidth="1"/>
    <col min="17" max="17" width="15.140625" style="3" customWidth="1"/>
    <col min="18" max="18" width="9.140625" style="3" customWidth="1"/>
    <col min="19" max="19" width="14.28515625" style="3" customWidth="1"/>
    <col min="20" max="20" width="14.42578125" style="3" customWidth="1"/>
    <col min="21" max="21" width="15.85546875" style="1" customWidth="1"/>
    <col min="22" max="22" width="15.28515625" style="1" customWidth="1"/>
    <col min="23" max="23" width="16.140625" style="11" customWidth="1"/>
  </cols>
  <sheetData>
    <row r="1" spans="1:259" x14ac:dyDescent="0.25">
      <c r="C1" s="63"/>
      <c r="D1" s="9"/>
      <c r="E1" s="9"/>
      <c r="F1" s="9"/>
      <c r="G1" s="9"/>
      <c r="H1" s="9"/>
      <c r="I1" s="10"/>
      <c r="J1" s="10"/>
      <c r="K1" s="10"/>
      <c r="L1" s="10"/>
      <c r="M1" s="10"/>
      <c r="P1" s="12"/>
      <c r="Q1" s="8"/>
      <c r="R1" s="191" t="s">
        <v>26</v>
      </c>
      <c r="S1" s="191"/>
      <c r="T1" s="191"/>
    </row>
    <row r="2" spans="1:259" x14ac:dyDescent="0.25">
      <c r="D2" s="9"/>
      <c r="E2" s="9"/>
      <c r="F2" s="9"/>
      <c r="G2" s="9"/>
      <c r="H2" s="9"/>
      <c r="I2" s="10"/>
      <c r="J2" s="10"/>
      <c r="K2" s="10"/>
      <c r="L2" s="10"/>
      <c r="M2" s="10"/>
      <c r="P2" s="12"/>
      <c r="Q2" s="1"/>
      <c r="R2" s="192"/>
      <c r="S2" s="192"/>
      <c r="T2" s="192"/>
      <c r="U2" s="36"/>
      <c r="V2" s="9"/>
    </row>
    <row r="3" spans="1:259" x14ac:dyDescent="0.25">
      <c r="B3" s="8" t="s">
        <v>21</v>
      </c>
      <c r="C3" s="65" t="s">
        <v>31</v>
      </c>
      <c r="D3" s="45"/>
      <c r="E3" s="45"/>
      <c r="F3" s="45"/>
      <c r="G3" s="45"/>
      <c r="H3" s="9"/>
      <c r="I3" s="10"/>
      <c r="J3" s="10"/>
      <c r="K3" s="10"/>
      <c r="L3" s="10"/>
      <c r="M3" s="10"/>
      <c r="P3" s="12"/>
      <c r="Q3" s="13"/>
      <c r="R3" s="195"/>
      <c r="S3" s="195"/>
      <c r="T3" s="195"/>
      <c r="U3" s="195"/>
      <c r="V3" s="9"/>
    </row>
    <row r="4" spans="1:259" ht="15" customHeight="1" x14ac:dyDescent="0.25">
      <c r="A4" s="62"/>
      <c r="B4" s="8" t="s">
        <v>22</v>
      </c>
      <c r="C4" s="66" t="s">
        <v>82</v>
      </c>
      <c r="D4" s="46"/>
      <c r="E4" s="46"/>
      <c r="F4" s="44"/>
      <c r="G4" s="44"/>
      <c r="H4" s="27"/>
      <c r="I4" s="14"/>
      <c r="J4" s="14"/>
      <c r="K4" s="14"/>
      <c r="L4" s="14"/>
      <c r="M4" s="14"/>
      <c r="P4" s="15"/>
      <c r="Q4" s="8"/>
      <c r="R4" s="193" t="s">
        <v>28</v>
      </c>
      <c r="S4" s="193"/>
      <c r="T4" s="193"/>
      <c r="U4" s="8"/>
      <c r="V4" s="8"/>
    </row>
    <row r="5" spans="1:259" s="4" customFormat="1" ht="15.75" x14ac:dyDescent="0.25">
      <c r="A5" s="7"/>
      <c r="B5" s="7"/>
      <c r="C5" s="58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94" t="s">
        <v>27</v>
      </c>
      <c r="S5" s="194"/>
      <c r="T5" s="194"/>
      <c r="U5" s="7"/>
      <c r="V5" s="7"/>
      <c r="W5" s="16"/>
    </row>
    <row r="6" spans="1:259" s="4" customFormat="1" ht="15" customHeight="1" x14ac:dyDescent="0.25">
      <c r="A6" s="6"/>
      <c r="B6" s="6"/>
      <c r="C6" s="67"/>
      <c r="D6" s="6"/>
      <c r="E6" s="6"/>
      <c r="F6" s="6"/>
      <c r="G6" s="6"/>
      <c r="H6" s="24"/>
      <c r="I6" s="24"/>
      <c r="J6" s="24"/>
      <c r="K6" s="24"/>
      <c r="L6" s="103"/>
      <c r="M6" s="103"/>
      <c r="N6" s="57"/>
      <c r="O6" s="75"/>
      <c r="P6" s="24"/>
      <c r="Q6" s="24"/>
      <c r="R6" s="6"/>
      <c r="S6" s="6"/>
      <c r="T6" s="6"/>
      <c r="U6" s="6"/>
      <c r="V6" s="6"/>
      <c r="W6" s="16"/>
    </row>
    <row r="7" spans="1:259" s="4" customFormat="1" x14ac:dyDescent="0.25">
      <c r="A7" s="6"/>
      <c r="B7" s="17"/>
      <c r="C7" s="68"/>
      <c r="D7" s="17"/>
      <c r="E7" s="6"/>
      <c r="F7" s="6"/>
      <c r="G7" s="6"/>
      <c r="H7" s="187" t="s">
        <v>89</v>
      </c>
      <c r="I7" s="187"/>
      <c r="J7" s="187"/>
      <c r="K7" s="187"/>
      <c r="L7" s="187"/>
      <c r="M7" s="187"/>
      <c r="N7" s="187"/>
      <c r="O7" s="187"/>
      <c r="P7" s="187"/>
      <c r="Q7" s="187"/>
      <c r="R7" s="6"/>
      <c r="S7" s="6"/>
      <c r="T7" s="6"/>
      <c r="U7" s="6"/>
      <c r="V7" s="6"/>
      <c r="W7" s="16"/>
    </row>
    <row r="8" spans="1:259" s="5" customFormat="1" ht="15" customHeight="1" x14ac:dyDescent="0.25">
      <c r="A8" s="6"/>
      <c r="B8" s="17"/>
      <c r="C8" s="68"/>
      <c r="D8" s="18"/>
      <c r="E8" s="19"/>
      <c r="F8" s="19"/>
      <c r="G8" s="19"/>
      <c r="H8" s="19"/>
      <c r="I8" s="19"/>
      <c r="J8" s="19"/>
      <c r="K8" s="19"/>
      <c r="L8" s="19"/>
      <c r="M8" s="19"/>
      <c r="N8" s="74"/>
      <c r="O8" s="74"/>
      <c r="P8" s="20"/>
      <c r="Q8" s="21"/>
      <c r="R8" s="21"/>
      <c r="S8" s="21"/>
      <c r="T8" s="6"/>
      <c r="U8" s="6"/>
      <c r="V8" s="6"/>
      <c r="W8" s="16"/>
    </row>
    <row r="9" spans="1:259" s="2" customFormat="1" ht="37.5" customHeight="1" x14ac:dyDescent="0.25">
      <c r="A9" s="174" t="s">
        <v>72</v>
      </c>
      <c r="B9" s="174" t="s">
        <v>6</v>
      </c>
      <c r="C9" s="176" t="s">
        <v>9</v>
      </c>
      <c r="D9" s="174" t="s">
        <v>0</v>
      </c>
      <c r="E9" s="174" t="s">
        <v>10</v>
      </c>
      <c r="F9" s="174" t="s">
        <v>19</v>
      </c>
      <c r="G9" s="174" t="s">
        <v>20</v>
      </c>
      <c r="H9" s="174" t="s">
        <v>7</v>
      </c>
      <c r="I9" s="179" t="s">
        <v>16</v>
      </c>
      <c r="J9" s="180"/>
      <c r="K9" s="181"/>
      <c r="L9" s="189" t="s">
        <v>154</v>
      </c>
      <c r="M9" s="184" t="s">
        <v>87</v>
      </c>
      <c r="N9" s="184" t="s">
        <v>11</v>
      </c>
      <c r="O9" s="174" t="s">
        <v>1</v>
      </c>
      <c r="P9" s="179" t="s">
        <v>2</v>
      </c>
      <c r="Q9" s="185"/>
      <c r="R9" s="185"/>
      <c r="S9" s="186"/>
      <c r="T9" s="188" t="s">
        <v>14</v>
      </c>
      <c r="U9" s="188"/>
      <c r="V9" s="188"/>
      <c r="W9" s="184" t="s">
        <v>3</v>
      </c>
    </row>
    <row r="10" spans="1:259" s="2" customFormat="1" ht="47.25" x14ac:dyDescent="0.25">
      <c r="A10" s="175"/>
      <c r="B10" s="175"/>
      <c r="C10" s="177"/>
      <c r="D10" s="175"/>
      <c r="E10" s="178"/>
      <c r="F10" s="175"/>
      <c r="G10" s="175"/>
      <c r="H10" s="175"/>
      <c r="I10" s="23" t="s">
        <v>15</v>
      </c>
      <c r="J10" s="23" t="s">
        <v>17</v>
      </c>
      <c r="K10" s="23" t="s">
        <v>5</v>
      </c>
      <c r="L10" s="190"/>
      <c r="M10" s="184"/>
      <c r="N10" s="184"/>
      <c r="O10" s="175"/>
      <c r="P10" s="25" t="s">
        <v>8</v>
      </c>
      <c r="Q10" s="25" t="s">
        <v>4</v>
      </c>
      <c r="R10" s="25" t="s">
        <v>5</v>
      </c>
      <c r="S10" s="25" t="s">
        <v>3</v>
      </c>
      <c r="T10" s="26" t="s">
        <v>12</v>
      </c>
      <c r="U10" s="26" t="s">
        <v>18</v>
      </c>
      <c r="V10" s="26" t="s">
        <v>13</v>
      </c>
      <c r="W10" s="184"/>
    </row>
    <row r="11" spans="1:259" s="2" customFormat="1" ht="19.5" customHeight="1" x14ac:dyDescent="0.25">
      <c r="A11" s="56">
        <v>1</v>
      </c>
      <c r="B11" s="23">
        <f>A11+1</f>
        <v>2</v>
      </c>
      <c r="C11" s="101">
        <f t="shared" ref="C11:D11" si="0">B11+1</f>
        <v>3</v>
      </c>
      <c r="D11" s="23">
        <f t="shared" si="0"/>
        <v>4</v>
      </c>
      <c r="E11" s="23">
        <f t="shared" ref="E11" si="1">D11+1</f>
        <v>5</v>
      </c>
      <c r="F11" s="23">
        <f t="shared" ref="F11" si="2">E11+1</f>
        <v>6</v>
      </c>
      <c r="G11" s="23">
        <f t="shared" ref="G11" si="3">F11+1</f>
        <v>7</v>
      </c>
      <c r="H11" s="23">
        <f t="shared" ref="H11" si="4">G11+1</f>
        <v>8</v>
      </c>
      <c r="I11" s="23">
        <f t="shared" ref="I11" si="5">H11+1</f>
        <v>9</v>
      </c>
      <c r="J11" s="23">
        <f t="shared" ref="J11" si="6">I11+1</f>
        <v>10</v>
      </c>
      <c r="K11" s="23">
        <f t="shared" ref="K11" si="7">J11+1</f>
        <v>11</v>
      </c>
      <c r="L11" s="102">
        <f>K11+1</f>
        <v>12</v>
      </c>
      <c r="M11" s="102">
        <f t="shared" ref="M11:N11" si="8">L11+1</f>
        <v>13</v>
      </c>
      <c r="N11" s="102">
        <f t="shared" si="8"/>
        <v>14</v>
      </c>
      <c r="O11" s="102">
        <f t="shared" ref="O11:P11" si="9">N11+1</f>
        <v>15</v>
      </c>
      <c r="P11" s="102">
        <f t="shared" si="9"/>
        <v>16</v>
      </c>
      <c r="Q11" s="102">
        <f t="shared" ref="Q11:R11" si="10">P11+1</f>
        <v>17</v>
      </c>
      <c r="R11" s="102">
        <f t="shared" si="10"/>
        <v>18</v>
      </c>
      <c r="S11" s="102">
        <f t="shared" ref="S11:T11" si="11">R11+1</f>
        <v>19</v>
      </c>
      <c r="T11" s="102">
        <f t="shared" si="11"/>
        <v>20</v>
      </c>
      <c r="U11" s="102">
        <f t="shared" ref="U11:V11" si="12">T11+1</f>
        <v>21</v>
      </c>
      <c r="V11" s="102">
        <f t="shared" si="12"/>
        <v>22</v>
      </c>
      <c r="W11" s="102">
        <f t="shared" ref="W11" si="13">V11+1</f>
        <v>23</v>
      </c>
    </row>
    <row r="12" spans="1:259" s="42" customFormat="1" ht="90.75" thickBot="1" x14ac:dyDescent="0.3">
      <c r="A12" s="76">
        <v>1</v>
      </c>
      <c r="B12" s="77" t="s">
        <v>33</v>
      </c>
      <c r="C12" s="78" t="s">
        <v>80</v>
      </c>
      <c r="D12" s="76" t="s">
        <v>34</v>
      </c>
      <c r="E12" s="76"/>
      <c r="F12" s="76" t="s">
        <v>81</v>
      </c>
      <c r="G12" s="76" t="s">
        <v>58</v>
      </c>
      <c r="H12" s="76" t="s">
        <v>77</v>
      </c>
      <c r="I12" s="78" t="s">
        <v>85</v>
      </c>
      <c r="J12" s="78" t="s">
        <v>30</v>
      </c>
      <c r="K12" s="78">
        <v>1</v>
      </c>
      <c r="L12" s="110"/>
      <c r="M12" s="110"/>
      <c r="N12" s="78" t="s">
        <v>86</v>
      </c>
      <c r="O12" s="79"/>
      <c r="P12" s="78"/>
      <c r="Q12" s="79" t="s">
        <v>29</v>
      </c>
      <c r="R12" s="49"/>
      <c r="S12" s="50"/>
      <c r="T12" s="48"/>
      <c r="U12" s="51">
        <v>0</v>
      </c>
      <c r="V12" s="47"/>
      <c r="W12" s="52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1"/>
      <c r="CJ12" s="41"/>
      <c r="CK12" s="41"/>
      <c r="CL12" s="41"/>
      <c r="CM12" s="41"/>
      <c r="CN12" s="41"/>
      <c r="CO12" s="41"/>
      <c r="CP12" s="41"/>
      <c r="CQ12" s="41"/>
      <c r="CR12" s="41"/>
      <c r="CS12" s="41"/>
      <c r="CT12" s="41"/>
      <c r="CU12" s="41"/>
      <c r="CV12" s="41"/>
      <c r="CW12" s="41"/>
      <c r="CX12" s="41"/>
      <c r="CY12" s="41"/>
      <c r="CZ12" s="41"/>
      <c r="DA12" s="41"/>
      <c r="DB12" s="41"/>
      <c r="DC12" s="41"/>
      <c r="DD12" s="41"/>
      <c r="DE12" s="41"/>
      <c r="DF12" s="41"/>
      <c r="DG12" s="41"/>
      <c r="DH12" s="41"/>
      <c r="DI12" s="41"/>
      <c r="DJ12" s="41"/>
      <c r="DK12" s="41"/>
      <c r="DL12" s="41"/>
      <c r="DM12" s="41"/>
      <c r="DN12" s="41"/>
      <c r="DO12" s="41"/>
      <c r="DP12" s="41"/>
      <c r="DQ12" s="41"/>
      <c r="DR12" s="41"/>
      <c r="DS12" s="41"/>
      <c r="DT12" s="41"/>
      <c r="DU12" s="41"/>
      <c r="DV12" s="41"/>
      <c r="DW12" s="41"/>
      <c r="DX12" s="41"/>
      <c r="DY12" s="41"/>
      <c r="DZ12" s="41"/>
      <c r="EA12" s="41"/>
      <c r="EB12" s="41"/>
      <c r="EC12" s="41"/>
      <c r="ED12" s="41"/>
      <c r="EE12" s="41"/>
      <c r="EF12" s="41"/>
      <c r="EG12" s="41"/>
      <c r="EH12" s="41"/>
      <c r="EI12" s="41"/>
      <c r="EJ12" s="41"/>
      <c r="EK12" s="41"/>
      <c r="EL12" s="41"/>
      <c r="EM12" s="41"/>
      <c r="EN12" s="41"/>
      <c r="EO12" s="41"/>
      <c r="EP12" s="41"/>
      <c r="EQ12" s="41"/>
      <c r="ER12" s="41"/>
      <c r="ES12" s="41"/>
      <c r="ET12" s="41"/>
      <c r="EU12" s="41"/>
      <c r="EV12" s="41"/>
      <c r="EW12" s="41"/>
      <c r="EX12" s="41"/>
      <c r="EY12" s="41"/>
      <c r="EZ12" s="41"/>
      <c r="FA12" s="41"/>
      <c r="FB12" s="41"/>
      <c r="FC12" s="41"/>
      <c r="FD12" s="41"/>
      <c r="FE12" s="41"/>
      <c r="FF12" s="41"/>
      <c r="FG12" s="41"/>
      <c r="FH12" s="41"/>
      <c r="FI12" s="41"/>
      <c r="FJ12" s="41"/>
      <c r="FK12" s="41"/>
      <c r="FL12" s="41"/>
      <c r="FM12" s="41"/>
      <c r="FN12" s="41"/>
      <c r="FO12" s="41"/>
      <c r="FP12" s="41"/>
      <c r="FQ12" s="41"/>
      <c r="FR12" s="41"/>
      <c r="FS12" s="41"/>
      <c r="FT12" s="41"/>
      <c r="FU12" s="41"/>
      <c r="FV12" s="41"/>
      <c r="FW12" s="41"/>
      <c r="FX12" s="41"/>
      <c r="FY12" s="41"/>
      <c r="FZ12" s="41"/>
      <c r="GA12" s="41"/>
      <c r="GB12" s="41"/>
      <c r="GC12" s="41"/>
      <c r="GD12" s="41"/>
      <c r="GE12" s="41"/>
      <c r="GF12" s="41"/>
      <c r="GG12" s="41"/>
      <c r="GH12" s="41"/>
      <c r="GI12" s="41"/>
      <c r="GJ12" s="41"/>
      <c r="GK12" s="41"/>
      <c r="GL12" s="41"/>
      <c r="GM12" s="41"/>
      <c r="GN12" s="41"/>
      <c r="GO12" s="41"/>
      <c r="GP12" s="41"/>
      <c r="GQ12" s="41"/>
      <c r="GR12" s="41"/>
      <c r="GS12" s="41"/>
      <c r="GT12" s="41"/>
      <c r="GU12" s="41"/>
      <c r="GV12" s="41"/>
      <c r="GW12" s="41"/>
      <c r="GX12" s="41"/>
      <c r="GY12" s="41"/>
      <c r="GZ12" s="41"/>
      <c r="HA12" s="41"/>
      <c r="HB12" s="41"/>
      <c r="HC12" s="41"/>
      <c r="HD12" s="41"/>
      <c r="HE12" s="41"/>
      <c r="HF12" s="41"/>
      <c r="HG12" s="41"/>
      <c r="HH12" s="41"/>
      <c r="HI12" s="41"/>
      <c r="HJ12" s="41"/>
      <c r="HK12" s="41"/>
      <c r="HL12" s="41"/>
      <c r="HM12" s="41"/>
      <c r="HN12" s="41"/>
      <c r="HO12" s="41"/>
      <c r="HP12" s="41"/>
      <c r="HQ12" s="41"/>
      <c r="HR12" s="41"/>
      <c r="HS12" s="41"/>
      <c r="HT12" s="41"/>
      <c r="HU12" s="41"/>
      <c r="HV12" s="41"/>
      <c r="HW12" s="41"/>
      <c r="HX12" s="41"/>
      <c r="HY12" s="41"/>
      <c r="HZ12" s="41"/>
      <c r="IA12" s="41"/>
      <c r="IB12" s="41"/>
      <c r="IC12" s="41"/>
      <c r="ID12" s="41"/>
      <c r="IE12" s="41"/>
      <c r="IF12" s="41"/>
      <c r="IG12" s="41"/>
      <c r="IH12" s="41"/>
      <c r="II12" s="41"/>
      <c r="IJ12" s="41"/>
      <c r="IK12" s="41"/>
      <c r="IL12" s="41"/>
      <c r="IM12" s="41"/>
      <c r="IN12" s="41"/>
      <c r="IO12" s="41"/>
      <c r="IP12" s="41"/>
      <c r="IQ12" s="41"/>
      <c r="IR12" s="41"/>
      <c r="IS12" s="41"/>
      <c r="IT12" s="41"/>
      <c r="IU12" s="41"/>
      <c r="IV12" s="41"/>
      <c r="IW12" s="41"/>
      <c r="IX12" s="41"/>
      <c r="IY12" s="41"/>
    </row>
    <row r="13" spans="1:259" s="43" customFormat="1" ht="30" x14ac:dyDescent="0.25">
      <c r="A13" s="80">
        <f>A12+1</f>
        <v>2</v>
      </c>
      <c r="B13" s="77" t="s">
        <v>33</v>
      </c>
      <c r="C13" s="78" t="s">
        <v>80</v>
      </c>
      <c r="D13" s="76" t="s">
        <v>34</v>
      </c>
      <c r="E13" s="76"/>
      <c r="F13" s="76" t="s">
        <v>81</v>
      </c>
      <c r="G13" s="76" t="s">
        <v>58</v>
      </c>
      <c r="H13" s="76" t="s">
        <v>77</v>
      </c>
      <c r="I13" s="78" t="s">
        <v>35</v>
      </c>
      <c r="J13" s="78" t="s">
        <v>30</v>
      </c>
      <c r="K13" s="78">
        <v>1</v>
      </c>
      <c r="L13" s="111">
        <v>1</v>
      </c>
      <c r="M13" s="110" t="s">
        <v>59</v>
      </c>
      <c r="N13" s="78" t="s">
        <v>74</v>
      </c>
      <c r="O13" s="79" t="s">
        <v>83</v>
      </c>
      <c r="P13" s="81"/>
      <c r="Q13" s="82"/>
      <c r="R13" s="59"/>
      <c r="S13" s="50"/>
      <c r="T13" s="48"/>
      <c r="U13" s="51">
        <v>0</v>
      </c>
      <c r="V13" s="47"/>
      <c r="W13" s="52"/>
    </row>
    <row r="14" spans="1:259" s="43" customFormat="1" ht="30" x14ac:dyDescent="0.25">
      <c r="A14" s="76" t="s">
        <v>59</v>
      </c>
      <c r="B14" s="83" t="s">
        <v>33</v>
      </c>
      <c r="C14" s="78" t="s">
        <v>80</v>
      </c>
      <c r="D14" s="76" t="s">
        <v>34</v>
      </c>
      <c r="E14" s="77"/>
      <c r="F14" s="76" t="s">
        <v>81</v>
      </c>
      <c r="G14" s="76" t="s">
        <v>58</v>
      </c>
      <c r="H14" s="76" t="s">
        <v>77</v>
      </c>
      <c r="I14" s="78" t="s">
        <v>36</v>
      </c>
      <c r="J14" s="78" t="s">
        <v>30</v>
      </c>
      <c r="K14" s="78">
        <v>1</v>
      </c>
      <c r="L14" s="111">
        <v>0.6</v>
      </c>
      <c r="M14" s="110" t="s">
        <v>59</v>
      </c>
      <c r="N14" s="78" t="s">
        <v>74</v>
      </c>
      <c r="O14" s="79" t="s">
        <v>83</v>
      </c>
      <c r="P14" s="81"/>
      <c r="Q14" s="82"/>
      <c r="R14" s="59"/>
      <c r="S14" s="50"/>
      <c r="T14" s="48"/>
      <c r="U14" s="51">
        <v>0</v>
      </c>
      <c r="V14" s="47"/>
      <c r="W14" s="52"/>
    </row>
    <row r="15" spans="1:259" s="43" customFormat="1" ht="30" x14ac:dyDescent="0.25">
      <c r="A15" s="80">
        <f t="shared" ref="A15" si="14">A14+1</f>
        <v>4</v>
      </c>
      <c r="B15" s="83" t="s">
        <v>33</v>
      </c>
      <c r="C15" s="78" t="s">
        <v>80</v>
      </c>
      <c r="D15" s="76" t="s">
        <v>34</v>
      </c>
      <c r="E15" s="77"/>
      <c r="F15" s="76" t="s">
        <v>81</v>
      </c>
      <c r="G15" s="76" t="s">
        <v>58</v>
      </c>
      <c r="H15" s="76" t="s">
        <v>77</v>
      </c>
      <c r="I15" s="78" t="s">
        <v>37</v>
      </c>
      <c r="J15" s="78" t="s">
        <v>30</v>
      </c>
      <c r="K15" s="78">
        <v>6</v>
      </c>
      <c r="L15" s="111">
        <v>1.3</v>
      </c>
      <c r="M15" s="110" t="s">
        <v>59</v>
      </c>
      <c r="N15" s="78" t="s">
        <v>74</v>
      </c>
      <c r="O15" s="79" t="s">
        <v>83</v>
      </c>
      <c r="P15" s="81"/>
      <c r="Q15" s="84"/>
      <c r="R15" s="61"/>
      <c r="S15" s="50"/>
      <c r="T15" s="48"/>
      <c r="U15" s="51">
        <v>0</v>
      </c>
      <c r="V15" s="47"/>
      <c r="W15" s="52"/>
    </row>
    <row r="16" spans="1:259" s="43" customFormat="1" ht="29.25" customHeight="1" x14ac:dyDescent="0.25">
      <c r="A16" s="76" t="s">
        <v>60</v>
      </c>
      <c r="B16" s="83" t="s">
        <v>33</v>
      </c>
      <c r="C16" s="78" t="s">
        <v>80</v>
      </c>
      <c r="D16" s="76" t="s">
        <v>34</v>
      </c>
      <c r="E16" s="76"/>
      <c r="F16" s="76" t="s">
        <v>81</v>
      </c>
      <c r="G16" s="76" t="s">
        <v>58</v>
      </c>
      <c r="H16" s="76" t="s">
        <v>77</v>
      </c>
      <c r="I16" s="78" t="s">
        <v>38</v>
      </c>
      <c r="J16" s="78" t="s">
        <v>30</v>
      </c>
      <c r="K16" s="78">
        <v>54</v>
      </c>
      <c r="L16" s="111">
        <v>1.3</v>
      </c>
      <c r="M16" s="110" t="s">
        <v>59</v>
      </c>
      <c r="N16" s="78" t="s">
        <v>74</v>
      </c>
      <c r="O16" s="79" t="s">
        <v>83</v>
      </c>
      <c r="P16" s="81"/>
      <c r="Q16" s="84"/>
      <c r="R16" s="61"/>
      <c r="S16" s="50"/>
      <c r="T16" s="48"/>
      <c r="U16" s="51">
        <v>0</v>
      </c>
      <c r="V16" s="47"/>
      <c r="W16" s="52"/>
    </row>
    <row r="17" spans="1:23" s="43" customFormat="1" ht="30" x14ac:dyDescent="0.25">
      <c r="A17" s="80" t="s">
        <v>61</v>
      </c>
      <c r="B17" s="83" t="s">
        <v>33</v>
      </c>
      <c r="C17" s="78" t="s">
        <v>80</v>
      </c>
      <c r="D17" s="76" t="s">
        <v>34</v>
      </c>
      <c r="E17" s="76"/>
      <c r="F17" s="76" t="s">
        <v>81</v>
      </c>
      <c r="G17" s="76" t="s">
        <v>58</v>
      </c>
      <c r="H17" s="76" t="s">
        <v>77</v>
      </c>
      <c r="I17" s="78" t="s">
        <v>39</v>
      </c>
      <c r="J17" s="78" t="s">
        <v>30</v>
      </c>
      <c r="K17" s="78">
        <v>54</v>
      </c>
      <c r="L17" s="111">
        <v>1</v>
      </c>
      <c r="M17" s="110" t="s">
        <v>59</v>
      </c>
      <c r="N17" s="78" t="s">
        <v>74</v>
      </c>
      <c r="O17" s="79" t="s">
        <v>83</v>
      </c>
      <c r="P17" s="81"/>
      <c r="Q17" s="85"/>
      <c r="R17" s="59"/>
      <c r="S17" s="50"/>
      <c r="T17" s="48"/>
      <c r="U17" s="51">
        <v>0</v>
      </c>
      <c r="V17" s="47"/>
      <c r="W17" s="52"/>
    </row>
    <row r="18" spans="1:23" s="43" customFormat="1" ht="30" x14ac:dyDescent="0.25">
      <c r="A18" s="76" t="s">
        <v>62</v>
      </c>
      <c r="B18" s="83" t="s">
        <v>33</v>
      </c>
      <c r="C18" s="78" t="s">
        <v>80</v>
      </c>
      <c r="D18" s="76" t="s">
        <v>34</v>
      </c>
      <c r="E18" s="76"/>
      <c r="F18" s="76" t="s">
        <v>81</v>
      </c>
      <c r="G18" s="76" t="s">
        <v>58</v>
      </c>
      <c r="H18" s="76" t="s">
        <v>77</v>
      </c>
      <c r="I18" s="78" t="s">
        <v>40</v>
      </c>
      <c r="J18" s="78" t="s">
        <v>30</v>
      </c>
      <c r="K18" s="78">
        <v>1</v>
      </c>
      <c r="L18" s="111">
        <v>0.4</v>
      </c>
      <c r="M18" s="110" t="s">
        <v>59</v>
      </c>
      <c r="N18" s="78" t="s">
        <v>41</v>
      </c>
      <c r="O18" s="79" t="s">
        <v>83</v>
      </c>
      <c r="P18" s="81"/>
      <c r="Q18" s="81"/>
      <c r="R18" s="69"/>
      <c r="S18" s="50"/>
      <c r="T18" s="48"/>
      <c r="U18" s="51">
        <v>0</v>
      </c>
      <c r="V18" s="47"/>
      <c r="W18" s="52"/>
    </row>
    <row r="19" spans="1:23" s="43" customFormat="1" ht="30" x14ac:dyDescent="0.25">
      <c r="A19" s="80" t="s">
        <v>63</v>
      </c>
      <c r="B19" s="83" t="s">
        <v>33</v>
      </c>
      <c r="C19" s="78" t="s">
        <v>80</v>
      </c>
      <c r="D19" s="76" t="s">
        <v>34</v>
      </c>
      <c r="E19" s="76"/>
      <c r="F19" s="76" t="s">
        <v>81</v>
      </c>
      <c r="G19" s="76" t="s">
        <v>58</v>
      </c>
      <c r="H19" s="76" t="s">
        <v>77</v>
      </c>
      <c r="I19" s="78" t="s">
        <v>42</v>
      </c>
      <c r="J19" s="78" t="s">
        <v>30</v>
      </c>
      <c r="K19" s="78">
        <v>158</v>
      </c>
      <c r="L19" s="111">
        <v>0.5</v>
      </c>
      <c r="M19" s="110" t="s">
        <v>59</v>
      </c>
      <c r="N19" s="78" t="s">
        <v>74</v>
      </c>
      <c r="O19" s="79" t="s">
        <v>83</v>
      </c>
      <c r="P19" s="81"/>
      <c r="Q19" s="81"/>
      <c r="R19" s="69"/>
      <c r="S19" s="50"/>
      <c r="T19" s="48"/>
      <c r="U19" s="51">
        <v>0</v>
      </c>
      <c r="V19" s="47"/>
      <c r="W19" s="52"/>
    </row>
    <row r="20" spans="1:23" s="43" customFormat="1" ht="30" x14ac:dyDescent="0.25">
      <c r="A20" s="76" t="s">
        <v>64</v>
      </c>
      <c r="B20" s="83" t="s">
        <v>33</v>
      </c>
      <c r="C20" s="78" t="s">
        <v>80</v>
      </c>
      <c r="D20" s="76" t="s">
        <v>34</v>
      </c>
      <c r="E20" s="76"/>
      <c r="F20" s="76" t="s">
        <v>81</v>
      </c>
      <c r="G20" s="76" t="s">
        <v>58</v>
      </c>
      <c r="H20" s="76" t="s">
        <v>77</v>
      </c>
      <c r="I20" s="78" t="s">
        <v>43</v>
      </c>
      <c r="J20" s="78" t="s">
        <v>30</v>
      </c>
      <c r="K20" s="78">
        <v>4</v>
      </c>
      <c r="L20" s="111">
        <v>0.3</v>
      </c>
      <c r="M20" s="110" t="s">
        <v>59</v>
      </c>
      <c r="N20" s="78" t="s">
        <v>73</v>
      </c>
      <c r="O20" s="79" t="s">
        <v>83</v>
      </c>
      <c r="P20" s="86"/>
      <c r="Q20" s="85"/>
      <c r="R20" s="70"/>
      <c r="S20" s="50"/>
      <c r="T20" s="48"/>
      <c r="U20" s="51">
        <v>0</v>
      </c>
      <c r="V20" s="47"/>
      <c r="W20" s="52"/>
    </row>
    <row r="21" spans="1:23" s="43" customFormat="1" ht="30" x14ac:dyDescent="0.25">
      <c r="A21" s="80">
        <f t="shared" ref="A21:A25" si="15">A20+1</f>
        <v>10</v>
      </c>
      <c r="B21" s="83" t="s">
        <v>33</v>
      </c>
      <c r="C21" s="78" t="s">
        <v>80</v>
      </c>
      <c r="D21" s="76" t="s">
        <v>34</v>
      </c>
      <c r="E21" s="76"/>
      <c r="F21" s="76" t="s">
        <v>81</v>
      </c>
      <c r="G21" s="76" t="s">
        <v>58</v>
      </c>
      <c r="H21" s="76" t="s">
        <v>77</v>
      </c>
      <c r="I21" s="78" t="s">
        <v>44</v>
      </c>
      <c r="J21" s="78" t="s">
        <v>30</v>
      </c>
      <c r="K21" s="78">
        <v>6</v>
      </c>
      <c r="L21" s="111">
        <v>0.8</v>
      </c>
      <c r="M21" s="110" t="s">
        <v>59</v>
      </c>
      <c r="N21" s="78" t="s">
        <v>73</v>
      </c>
      <c r="O21" s="79" t="s">
        <v>83</v>
      </c>
      <c r="P21" s="86"/>
      <c r="Q21" s="85"/>
      <c r="R21" s="70"/>
      <c r="S21" s="50"/>
      <c r="T21" s="48"/>
      <c r="U21" s="51">
        <v>0</v>
      </c>
      <c r="V21" s="47"/>
      <c r="W21" s="52"/>
    </row>
    <row r="22" spans="1:23" s="43" customFormat="1" ht="30" x14ac:dyDescent="0.25">
      <c r="A22" s="76" t="s">
        <v>65</v>
      </c>
      <c r="B22" s="83" t="s">
        <v>33</v>
      </c>
      <c r="C22" s="78" t="s">
        <v>80</v>
      </c>
      <c r="D22" s="76" t="s">
        <v>34</v>
      </c>
      <c r="E22" s="76"/>
      <c r="F22" s="76" t="s">
        <v>81</v>
      </c>
      <c r="G22" s="76" t="s">
        <v>58</v>
      </c>
      <c r="H22" s="76" t="s">
        <v>77</v>
      </c>
      <c r="I22" s="78" t="s">
        <v>45</v>
      </c>
      <c r="J22" s="78" t="s">
        <v>30</v>
      </c>
      <c r="K22" s="78">
        <v>1</v>
      </c>
      <c r="L22" s="111">
        <v>0.5</v>
      </c>
      <c r="M22" s="110" t="s">
        <v>59</v>
      </c>
      <c r="N22" s="78" t="s">
        <v>73</v>
      </c>
      <c r="O22" s="79" t="s">
        <v>83</v>
      </c>
      <c r="P22" s="87"/>
      <c r="Q22" s="88"/>
      <c r="R22" s="71"/>
      <c r="S22" s="50"/>
      <c r="T22" s="48"/>
      <c r="U22" s="51">
        <v>0</v>
      </c>
      <c r="V22" s="47"/>
      <c r="W22" s="52"/>
    </row>
    <row r="23" spans="1:23" s="43" customFormat="1" ht="30.75" customHeight="1" x14ac:dyDescent="0.25">
      <c r="A23" s="80">
        <f t="shared" si="15"/>
        <v>12</v>
      </c>
      <c r="B23" s="83" t="s">
        <v>33</v>
      </c>
      <c r="C23" s="78" t="s">
        <v>80</v>
      </c>
      <c r="D23" s="76" t="s">
        <v>34</v>
      </c>
      <c r="E23" s="76"/>
      <c r="F23" s="76" t="s">
        <v>81</v>
      </c>
      <c r="G23" s="76" t="s">
        <v>58</v>
      </c>
      <c r="H23" s="76" t="s">
        <v>77</v>
      </c>
      <c r="I23" s="78" t="s">
        <v>46</v>
      </c>
      <c r="J23" s="78" t="s">
        <v>30</v>
      </c>
      <c r="K23" s="78">
        <v>4</v>
      </c>
      <c r="L23" s="111">
        <v>0.7</v>
      </c>
      <c r="M23" s="110" t="s">
        <v>59</v>
      </c>
      <c r="N23" s="78" t="s">
        <v>75</v>
      </c>
      <c r="O23" s="79" t="s">
        <v>83</v>
      </c>
      <c r="P23" s="87"/>
      <c r="Q23" s="88"/>
      <c r="R23" s="71"/>
      <c r="S23" s="50"/>
      <c r="T23" s="48"/>
      <c r="U23" s="51"/>
      <c r="V23" s="47"/>
      <c r="W23" s="52"/>
    </row>
    <row r="24" spans="1:23" s="43" customFormat="1" ht="30" x14ac:dyDescent="0.25">
      <c r="A24" s="76" t="s">
        <v>66</v>
      </c>
      <c r="B24" s="83" t="s">
        <v>33</v>
      </c>
      <c r="C24" s="78" t="s">
        <v>80</v>
      </c>
      <c r="D24" s="76" t="s">
        <v>34</v>
      </c>
      <c r="E24" s="76"/>
      <c r="F24" s="76" t="s">
        <v>81</v>
      </c>
      <c r="G24" s="76" t="s">
        <v>58</v>
      </c>
      <c r="H24" s="76" t="s">
        <v>77</v>
      </c>
      <c r="I24" s="78" t="s">
        <v>51</v>
      </c>
      <c r="J24" s="78" t="s">
        <v>30</v>
      </c>
      <c r="K24" s="78">
        <v>2</v>
      </c>
      <c r="L24" s="111">
        <v>0.6</v>
      </c>
      <c r="M24" s="110" t="s">
        <v>59</v>
      </c>
      <c r="N24" s="78" t="s">
        <v>75</v>
      </c>
      <c r="O24" s="79" t="s">
        <v>83</v>
      </c>
      <c r="P24" s="81"/>
      <c r="Q24" s="81"/>
      <c r="R24" s="69"/>
      <c r="S24" s="50"/>
      <c r="T24" s="48"/>
      <c r="U24" s="51"/>
      <c r="V24" s="47"/>
      <c r="W24" s="52"/>
    </row>
    <row r="25" spans="1:23" s="43" customFormat="1" ht="45" x14ac:dyDescent="0.25">
      <c r="A25" s="80">
        <f t="shared" si="15"/>
        <v>14</v>
      </c>
      <c r="B25" s="83" t="s">
        <v>33</v>
      </c>
      <c r="C25" s="78" t="s">
        <v>80</v>
      </c>
      <c r="D25" s="76" t="s">
        <v>34</v>
      </c>
      <c r="E25" s="76"/>
      <c r="F25" s="76" t="s">
        <v>81</v>
      </c>
      <c r="G25" s="76" t="s">
        <v>58</v>
      </c>
      <c r="H25" s="76" t="s">
        <v>77</v>
      </c>
      <c r="I25" s="78" t="s">
        <v>47</v>
      </c>
      <c r="J25" s="78" t="s">
        <v>30</v>
      </c>
      <c r="K25" s="78">
        <v>2</v>
      </c>
      <c r="L25" s="111">
        <v>0.8</v>
      </c>
      <c r="M25" s="110" t="s">
        <v>59</v>
      </c>
      <c r="N25" s="78" t="s">
        <v>75</v>
      </c>
      <c r="O25" s="79" t="s">
        <v>83</v>
      </c>
      <c r="P25" s="81"/>
      <c r="Q25" s="81"/>
      <c r="R25" s="69"/>
      <c r="S25" s="50"/>
      <c r="T25" s="48"/>
      <c r="U25" s="51"/>
      <c r="V25" s="47"/>
      <c r="W25" s="52"/>
    </row>
    <row r="26" spans="1:23" s="43" customFormat="1" ht="30" x14ac:dyDescent="0.25">
      <c r="A26" s="76" t="s">
        <v>67</v>
      </c>
      <c r="B26" s="83" t="s">
        <v>33</v>
      </c>
      <c r="C26" s="78" t="s">
        <v>80</v>
      </c>
      <c r="D26" s="76" t="s">
        <v>34</v>
      </c>
      <c r="E26" s="76"/>
      <c r="F26" s="76" t="s">
        <v>81</v>
      </c>
      <c r="G26" s="76" t="s">
        <v>58</v>
      </c>
      <c r="H26" s="76" t="s">
        <v>77</v>
      </c>
      <c r="I26" s="78" t="s">
        <v>50</v>
      </c>
      <c r="J26" s="78" t="s">
        <v>30</v>
      </c>
      <c r="K26" s="78">
        <v>1</v>
      </c>
      <c r="L26" s="111">
        <v>0.3</v>
      </c>
      <c r="M26" s="110" t="s">
        <v>59</v>
      </c>
      <c r="N26" s="78" t="s">
        <v>75</v>
      </c>
      <c r="O26" s="79" t="s">
        <v>83</v>
      </c>
      <c r="P26" s="81"/>
      <c r="Q26" s="81"/>
      <c r="R26" s="69"/>
      <c r="S26" s="50"/>
      <c r="T26" s="48"/>
      <c r="U26" s="51"/>
      <c r="V26" s="47"/>
      <c r="W26" s="52"/>
    </row>
    <row r="27" spans="1:23" s="43" customFormat="1" ht="36" customHeight="1" x14ac:dyDescent="0.25">
      <c r="A27" s="80">
        <f t="shared" ref="A27" si="16">A26+1</f>
        <v>16</v>
      </c>
      <c r="B27" s="83" t="s">
        <v>33</v>
      </c>
      <c r="C27" s="78" t="s">
        <v>80</v>
      </c>
      <c r="D27" s="76" t="s">
        <v>34</v>
      </c>
      <c r="E27" s="76"/>
      <c r="F27" s="76" t="s">
        <v>81</v>
      </c>
      <c r="G27" s="76" t="s">
        <v>58</v>
      </c>
      <c r="H27" s="76" t="s">
        <v>77</v>
      </c>
      <c r="I27" s="78" t="s">
        <v>48</v>
      </c>
      <c r="J27" s="78" t="s">
        <v>30</v>
      </c>
      <c r="K27" s="78">
        <v>1</v>
      </c>
      <c r="L27" s="111">
        <v>0.4</v>
      </c>
      <c r="M27" s="110" t="s">
        <v>59</v>
      </c>
      <c r="N27" s="78" t="s">
        <v>75</v>
      </c>
      <c r="O27" s="79" t="s">
        <v>83</v>
      </c>
      <c r="P27" s="81"/>
      <c r="Q27" s="81"/>
      <c r="R27" s="69"/>
      <c r="S27" s="50"/>
      <c r="T27" s="48"/>
      <c r="U27" s="51">
        <v>0</v>
      </c>
      <c r="V27" s="47"/>
      <c r="W27" s="52"/>
    </row>
    <row r="28" spans="1:23" s="43" customFormat="1" ht="29.25" customHeight="1" x14ac:dyDescent="0.25">
      <c r="A28" s="76" t="s">
        <v>68</v>
      </c>
      <c r="B28" s="83" t="s">
        <v>33</v>
      </c>
      <c r="C28" s="78" t="s">
        <v>80</v>
      </c>
      <c r="D28" s="76" t="s">
        <v>34</v>
      </c>
      <c r="E28" s="76"/>
      <c r="F28" s="76" t="s">
        <v>81</v>
      </c>
      <c r="G28" s="76" t="s">
        <v>58</v>
      </c>
      <c r="H28" s="76" t="s">
        <v>77</v>
      </c>
      <c r="I28" s="78" t="s">
        <v>49</v>
      </c>
      <c r="J28" s="78" t="s">
        <v>30</v>
      </c>
      <c r="K28" s="78">
        <v>1</v>
      </c>
      <c r="L28" s="111">
        <v>2</v>
      </c>
      <c r="M28" s="110" t="s">
        <v>59</v>
      </c>
      <c r="N28" s="78" t="s">
        <v>75</v>
      </c>
      <c r="O28" s="79" t="s">
        <v>83</v>
      </c>
      <c r="P28" s="89"/>
      <c r="Q28" s="88"/>
      <c r="R28" s="71"/>
      <c r="S28" s="50"/>
      <c r="T28" s="48"/>
      <c r="U28" s="51">
        <v>0</v>
      </c>
      <c r="V28" s="47"/>
      <c r="W28" s="52"/>
    </row>
    <row r="29" spans="1:23" s="43" customFormat="1" ht="45" x14ac:dyDescent="0.25">
      <c r="A29" s="80">
        <f t="shared" ref="A29" si="17">A28+1</f>
        <v>18</v>
      </c>
      <c r="B29" s="83" t="s">
        <v>33</v>
      </c>
      <c r="C29" s="78" t="s">
        <v>80</v>
      </c>
      <c r="D29" s="76" t="s">
        <v>34</v>
      </c>
      <c r="E29" s="76"/>
      <c r="F29" s="76" t="s">
        <v>81</v>
      </c>
      <c r="G29" s="76" t="s">
        <v>58</v>
      </c>
      <c r="H29" s="76" t="s">
        <v>77</v>
      </c>
      <c r="I29" s="78" t="s">
        <v>52</v>
      </c>
      <c r="J29" s="78" t="s">
        <v>30</v>
      </c>
      <c r="K29" s="78">
        <v>1</v>
      </c>
      <c r="L29" s="111">
        <v>1</v>
      </c>
      <c r="M29" s="110" t="s">
        <v>59</v>
      </c>
      <c r="N29" s="78" t="s">
        <v>75</v>
      </c>
      <c r="O29" s="79" t="s">
        <v>83</v>
      </c>
      <c r="P29" s="89"/>
      <c r="Q29" s="88"/>
      <c r="R29" s="71"/>
      <c r="S29" s="50"/>
      <c r="T29" s="48"/>
      <c r="U29" s="51"/>
      <c r="V29" s="47"/>
      <c r="W29" s="52"/>
    </row>
    <row r="30" spans="1:23" ht="36.75" customHeight="1" x14ac:dyDescent="0.25">
      <c r="A30" s="76" t="s">
        <v>69</v>
      </c>
      <c r="B30" s="83" t="s">
        <v>33</v>
      </c>
      <c r="C30" s="78" t="s">
        <v>80</v>
      </c>
      <c r="D30" s="76" t="s">
        <v>34</v>
      </c>
      <c r="E30" s="76"/>
      <c r="F30" s="76" t="s">
        <v>81</v>
      </c>
      <c r="G30" s="76" t="s">
        <v>58</v>
      </c>
      <c r="H30" s="76" t="s">
        <v>77</v>
      </c>
      <c r="I30" s="78" t="s">
        <v>53</v>
      </c>
      <c r="J30" s="78" t="s">
        <v>30</v>
      </c>
      <c r="K30" s="78">
        <v>1</v>
      </c>
      <c r="L30" s="111">
        <v>0.6</v>
      </c>
      <c r="M30" s="110" t="s">
        <v>59</v>
      </c>
      <c r="N30" s="78" t="s">
        <v>75</v>
      </c>
      <c r="O30" s="79" t="s">
        <v>83</v>
      </c>
      <c r="P30" s="86"/>
      <c r="Q30" s="86"/>
      <c r="R30" s="60"/>
      <c r="S30" s="55"/>
      <c r="T30" s="55"/>
      <c r="U30" s="54"/>
      <c r="V30" s="54"/>
      <c r="W30" s="53"/>
    </row>
    <row r="31" spans="1:23" ht="30" x14ac:dyDescent="0.25">
      <c r="A31" s="80">
        <f t="shared" ref="A31" si="18">A30+1</f>
        <v>20</v>
      </c>
      <c r="B31" s="83" t="s">
        <v>33</v>
      </c>
      <c r="C31" s="78" t="s">
        <v>80</v>
      </c>
      <c r="D31" s="76" t="s">
        <v>34</v>
      </c>
      <c r="E31" s="76"/>
      <c r="F31" s="76" t="s">
        <v>81</v>
      </c>
      <c r="G31" s="76" t="s">
        <v>58</v>
      </c>
      <c r="H31" s="76" t="s">
        <v>77</v>
      </c>
      <c r="I31" s="78" t="s">
        <v>54</v>
      </c>
      <c r="J31" s="78" t="s">
        <v>30</v>
      </c>
      <c r="K31" s="78">
        <v>1</v>
      </c>
      <c r="L31" s="111">
        <v>0.4</v>
      </c>
      <c r="M31" s="110" t="s">
        <v>59</v>
      </c>
      <c r="N31" s="78" t="s">
        <v>75</v>
      </c>
      <c r="O31" s="79" t="s">
        <v>83</v>
      </c>
      <c r="P31" s="86"/>
      <c r="Q31" s="90"/>
      <c r="R31" s="72"/>
      <c r="S31" s="55"/>
      <c r="T31" s="55"/>
      <c r="U31" s="54"/>
      <c r="V31" s="54"/>
      <c r="W31" s="53"/>
    </row>
    <row r="32" spans="1:23" ht="30" x14ac:dyDescent="0.25">
      <c r="A32" s="76" t="s">
        <v>70</v>
      </c>
      <c r="B32" s="83" t="s">
        <v>33</v>
      </c>
      <c r="C32" s="78" t="s">
        <v>80</v>
      </c>
      <c r="D32" s="76" t="s">
        <v>34</v>
      </c>
      <c r="E32" s="76"/>
      <c r="F32" s="76" t="s">
        <v>81</v>
      </c>
      <c r="G32" s="76" t="s">
        <v>58</v>
      </c>
      <c r="H32" s="76" t="s">
        <v>77</v>
      </c>
      <c r="I32" s="78" t="s">
        <v>76</v>
      </c>
      <c r="J32" s="78" t="s">
        <v>30</v>
      </c>
      <c r="K32" s="78">
        <v>1</v>
      </c>
      <c r="L32" s="111">
        <v>1</v>
      </c>
      <c r="M32" s="110" t="s">
        <v>59</v>
      </c>
      <c r="N32" s="78" t="s">
        <v>73</v>
      </c>
      <c r="O32" s="79" t="s">
        <v>83</v>
      </c>
      <c r="P32" s="86"/>
      <c r="Q32" s="90"/>
      <c r="R32" s="72"/>
      <c r="S32" s="55"/>
      <c r="T32" s="55"/>
      <c r="U32" s="54"/>
      <c r="V32" s="54"/>
      <c r="W32" s="53"/>
    </row>
    <row r="33" spans="1:23" ht="30" x14ac:dyDescent="0.25">
      <c r="A33" s="80">
        <f t="shared" ref="A33" si="19">A32+1</f>
        <v>22</v>
      </c>
      <c r="B33" s="83" t="s">
        <v>33</v>
      </c>
      <c r="C33" s="78" t="s">
        <v>80</v>
      </c>
      <c r="D33" s="76" t="s">
        <v>34</v>
      </c>
      <c r="E33" s="76"/>
      <c r="F33" s="76" t="s">
        <v>81</v>
      </c>
      <c r="G33" s="76" t="s">
        <v>58</v>
      </c>
      <c r="H33" s="76" t="s">
        <v>77</v>
      </c>
      <c r="I33" s="78" t="s">
        <v>55</v>
      </c>
      <c r="J33" s="78" t="s">
        <v>30</v>
      </c>
      <c r="K33" s="78">
        <v>1</v>
      </c>
      <c r="L33" s="111" t="s">
        <v>88</v>
      </c>
      <c r="M33" s="110" t="s">
        <v>88</v>
      </c>
      <c r="N33" s="78" t="s">
        <v>73</v>
      </c>
      <c r="O33" s="79" t="s">
        <v>83</v>
      </c>
      <c r="P33" s="86"/>
      <c r="Q33" s="90"/>
      <c r="R33" s="72"/>
      <c r="S33" s="55"/>
      <c r="T33" s="55"/>
      <c r="U33" s="54"/>
      <c r="V33" s="54"/>
      <c r="W33" s="53"/>
    </row>
    <row r="34" spans="1:23" ht="29.25" customHeight="1" x14ac:dyDescent="0.25">
      <c r="A34" s="76" t="s">
        <v>71</v>
      </c>
      <c r="B34" s="83" t="s">
        <v>33</v>
      </c>
      <c r="C34" s="78" t="s">
        <v>80</v>
      </c>
      <c r="D34" s="76" t="s">
        <v>34</v>
      </c>
      <c r="E34" s="76"/>
      <c r="F34" s="76" t="s">
        <v>81</v>
      </c>
      <c r="G34" s="76" t="s">
        <v>58</v>
      </c>
      <c r="H34" s="76" t="s">
        <v>77</v>
      </c>
      <c r="I34" s="78" t="s">
        <v>56</v>
      </c>
      <c r="J34" s="78" t="s">
        <v>30</v>
      </c>
      <c r="K34" s="78">
        <v>1</v>
      </c>
      <c r="L34" s="111">
        <v>0.3</v>
      </c>
      <c r="M34" s="110" t="s">
        <v>59</v>
      </c>
      <c r="N34" s="78" t="s">
        <v>73</v>
      </c>
      <c r="O34" s="79" t="s">
        <v>83</v>
      </c>
      <c r="P34" s="86"/>
      <c r="Q34" s="90"/>
      <c r="R34" s="72"/>
      <c r="S34" s="55"/>
      <c r="T34" s="55"/>
      <c r="U34" s="54"/>
      <c r="V34" s="54"/>
      <c r="W34" s="53"/>
    </row>
    <row r="35" spans="1:23" ht="30" x14ac:dyDescent="0.25">
      <c r="A35" s="80">
        <f t="shared" ref="A35" si="20">A34+1</f>
        <v>24</v>
      </c>
      <c r="B35" s="77" t="s">
        <v>33</v>
      </c>
      <c r="C35" s="78" t="s">
        <v>80</v>
      </c>
      <c r="D35" s="76" t="s">
        <v>34</v>
      </c>
      <c r="E35" s="76"/>
      <c r="F35" s="76" t="s">
        <v>81</v>
      </c>
      <c r="G35" s="76" t="s">
        <v>58</v>
      </c>
      <c r="H35" s="76" t="s">
        <v>77</v>
      </c>
      <c r="I35" s="78" t="s">
        <v>57</v>
      </c>
      <c r="J35" s="78" t="s">
        <v>30</v>
      </c>
      <c r="K35" s="78">
        <v>1</v>
      </c>
      <c r="L35" s="111">
        <v>0.4</v>
      </c>
      <c r="M35" s="110" t="s">
        <v>59</v>
      </c>
      <c r="N35" s="78" t="s">
        <v>73</v>
      </c>
      <c r="O35" s="79" t="s">
        <v>83</v>
      </c>
      <c r="P35" s="86"/>
      <c r="Q35" s="90"/>
      <c r="R35" s="72"/>
      <c r="S35" s="55"/>
      <c r="T35" s="55"/>
      <c r="U35" s="54"/>
      <c r="V35" s="54"/>
      <c r="W35" s="53"/>
    </row>
    <row r="36" spans="1:23" x14ac:dyDescent="0.25">
      <c r="A36" s="91"/>
      <c r="B36" s="92"/>
      <c r="C36" s="93"/>
      <c r="D36" s="94"/>
      <c r="E36" s="94"/>
      <c r="F36" s="94"/>
      <c r="G36" s="94"/>
      <c r="H36" s="94"/>
      <c r="I36" s="93"/>
      <c r="J36" s="93"/>
      <c r="K36" s="93"/>
      <c r="L36" s="112">
        <f>SUM(L13:L35)</f>
        <v>16.200000000000003</v>
      </c>
      <c r="M36" s="93"/>
      <c r="N36" s="93"/>
      <c r="O36" s="95"/>
      <c r="P36" s="96"/>
      <c r="Q36" s="97"/>
      <c r="R36" s="98"/>
      <c r="S36" s="99"/>
      <c r="T36" s="99"/>
      <c r="U36" s="28"/>
      <c r="V36" s="28"/>
      <c r="W36" s="100"/>
    </row>
    <row r="37" spans="1:23" x14ac:dyDescent="0.25">
      <c r="A37" s="91"/>
      <c r="B37" s="92"/>
      <c r="C37" s="93"/>
      <c r="D37" s="94"/>
      <c r="E37" s="94"/>
      <c r="F37" s="94"/>
      <c r="G37" s="94"/>
      <c r="H37" s="94"/>
      <c r="I37" s="93"/>
      <c r="J37" s="93"/>
      <c r="K37" s="93"/>
      <c r="L37" s="93"/>
      <c r="M37" s="93"/>
      <c r="N37" s="93"/>
      <c r="O37" s="95"/>
      <c r="P37" s="96"/>
      <c r="Q37" s="97"/>
      <c r="R37" s="98"/>
      <c r="S37" s="99"/>
      <c r="T37" s="99"/>
      <c r="U37" s="28"/>
      <c r="V37" s="28"/>
      <c r="W37" s="100"/>
    </row>
    <row r="38" spans="1:23" x14ac:dyDescent="0.25">
      <c r="A38" s="91"/>
      <c r="B38" s="92"/>
      <c r="C38" s="93"/>
      <c r="D38" s="94"/>
      <c r="E38" s="94"/>
      <c r="F38" s="94"/>
      <c r="G38" s="94"/>
      <c r="H38" s="94"/>
      <c r="I38" s="93"/>
      <c r="J38" s="93"/>
      <c r="K38" s="93"/>
      <c r="L38" s="93"/>
      <c r="M38" s="93"/>
      <c r="N38" s="93"/>
      <c r="O38" s="95"/>
      <c r="P38" s="96"/>
      <c r="Q38" s="97"/>
      <c r="R38" s="98"/>
      <c r="S38" s="99"/>
      <c r="T38" s="99"/>
      <c r="U38" s="28"/>
      <c r="V38" s="28"/>
      <c r="W38" s="100"/>
    </row>
    <row r="39" spans="1:23" x14ac:dyDescent="0.25">
      <c r="H39" s="182" t="s">
        <v>23</v>
      </c>
      <c r="I39" s="182"/>
      <c r="J39" s="32"/>
      <c r="K39" s="33"/>
      <c r="L39" s="33"/>
      <c r="M39" s="33"/>
      <c r="N39" s="34"/>
      <c r="O39" s="34"/>
      <c r="P39" s="30"/>
      <c r="Q39" s="34"/>
      <c r="R39" s="35"/>
      <c r="W39" s="37"/>
    </row>
    <row r="40" spans="1:23" x14ac:dyDescent="0.25">
      <c r="H40" s="29"/>
      <c r="I40" s="31"/>
      <c r="J40" s="32"/>
      <c r="K40" s="33"/>
      <c r="L40" s="33"/>
      <c r="M40" s="33"/>
      <c r="N40" s="34"/>
      <c r="O40" s="34"/>
      <c r="P40" s="30"/>
      <c r="Q40" s="34"/>
      <c r="R40" s="35"/>
      <c r="W40" s="37"/>
    </row>
    <row r="41" spans="1:23" x14ac:dyDescent="0.25">
      <c r="H41" s="28"/>
      <c r="I41" s="40" t="s">
        <v>32</v>
      </c>
      <c r="J41" s="38"/>
      <c r="K41" s="183" t="s">
        <v>79</v>
      </c>
      <c r="L41" s="183"/>
      <c r="M41" s="183"/>
      <c r="N41" s="183"/>
      <c r="O41" s="183"/>
      <c r="P41" s="28"/>
      <c r="Q41" s="39"/>
      <c r="R41" s="39"/>
      <c r="W41" s="37"/>
    </row>
    <row r="42" spans="1:23" x14ac:dyDescent="0.25">
      <c r="H42" s="28"/>
      <c r="I42" s="38"/>
      <c r="J42" s="38"/>
      <c r="K42" s="173" t="s">
        <v>24</v>
      </c>
      <c r="L42" s="173"/>
      <c r="M42" s="173"/>
      <c r="N42" s="173"/>
      <c r="O42" s="173"/>
      <c r="P42" s="28"/>
      <c r="Q42" s="173" t="s">
        <v>25</v>
      </c>
      <c r="R42" s="173"/>
      <c r="W42" s="37"/>
    </row>
    <row r="43" spans="1:23" x14ac:dyDescent="0.25">
      <c r="H43" s="28"/>
      <c r="I43" s="40" t="s">
        <v>84</v>
      </c>
      <c r="J43" s="38"/>
      <c r="K43" s="183" t="s">
        <v>78</v>
      </c>
      <c r="L43" s="183"/>
      <c r="M43" s="183"/>
      <c r="N43" s="183"/>
      <c r="O43" s="183"/>
      <c r="P43" s="28"/>
      <c r="Q43" s="39"/>
      <c r="R43" s="39"/>
      <c r="W43" s="37"/>
    </row>
    <row r="44" spans="1:23" x14ac:dyDescent="0.25">
      <c r="H44" s="28"/>
      <c r="I44" s="38"/>
      <c r="J44" s="38"/>
      <c r="K44" s="173" t="s">
        <v>24</v>
      </c>
      <c r="L44" s="173"/>
      <c r="M44" s="173"/>
      <c r="N44" s="173"/>
      <c r="O44" s="173"/>
      <c r="P44" s="28"/>
      <c r="Q44" s="173" t="s">
        <v>25</v>
      </c>
      <c r="R44" s="173"/>
      <c r="W44" s="37"/>
    </row>
  </sheetData>
  <autoFilter ref="A11:U11" xr:uid="{00000000-0009-0000-0000-000000000000}"/>
  <mergeCells count="29">
    <mergeCell ref="R1:T1"/>
    <mergeCell ref="R2:T2"/>
    <mergeCell ref="R4:T4"/>
    <mergeCell ref="R5:T5"/>
    <mergeCell ref="R3:U3"/>
    <mergeCell ref="K43:O43"/>
    <mergeCell ref="O9:O10"/>
    <mergeCell ref="H7:Q7"/>
    <mergeCell ref="Q42:R42"/>
    <mergeCell ref="W9:W10"/>
    <mergeCell ref="T9:V9"/>
    <mergeCell ref="L9:L10"/>
    <mergeCell ref="M9:M10"/>
    <mergeCell ref="K44:O44"/>
    <mergeCell ref="Q44:R44"/>
    <mergeCell ref="A9:A10"/>
    <mergeCell ref="B9:B10"/>
    <mergeCell ref="C9:C10"/>
    <mergeCell ref="D9:D10"/>
    <mergeCell ref="H9:H10"/>
    <mergeCell ref="E9:E10"/>
    <mergeCell ref="F9:F10"/>
    <mergeCell ref="G9:G10"/>
    <mergeCell ref="I9:K9"/>
    <mergeCell ref="H39:I39"/>
    <mergeCell ref="K41:O41"/>
    <mergeCell ref="K42:O42"/>
    <mergeCell ref="N9:N10"/>
    <mergeCell ref="P9:S9"/>
  </mergeCells>
  <pageMargins left="0.31496062992125984" right="0.31496062992125984" top="0.35433070866141736" bottom="0.35433070866141736" header="0.31496062992125984" footer="0.31496062992125984"/>
  <pageSetup paperSize="8" scale="58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04BE3-31D5-4669-9D52-F65F8AAEE108}">
  <sheetPr codeName="Лист2">
    <pageSetUpPr fitToPage="1"/>
  </sheetPr>
  <dimension ref="A1:IY44"/>
  <sheetViews>
    <sheetView topLeftCell="A3" zoomScale="85" zoomScaleNormal="85" workbookViewId="0">
      <selection activeCell="L9" sqref="L9:L10"/>
    </sheetView>
  </sheetViews>
  <sheetFormatPr defaultRowHeight="15" outlineLevelCol="1" x14ac:dyDescent="0.25"/>
  <cols>
    <col min="1" max="1" width="7.140625" style="3" bestFit="1" customWidth="1"/>
    <col min="2" max="2" width="13.7109375" style="1" customWidth="1"/>
    <col min="3" max="3" width="41.7109375" style="64" bestFit="1" customWidth="1"/>
    <col min="4" max="4" width="13.7109375" style="1" customWidth="1"/>
    <col min="5" max="7" width="15.5703125" style="1" customWidth="1"/>
    <col min="8" max="8" width="11.85546875" style="1" customWidth="1"/>
    <col min="9" max="9" width="45.5703125" style="1" customWidth="1" outlineLevel="1"/>
    <col min="10" max="10" width="13" style="1" customWidth="1" outlineLevel="1"/>
    <col min="11" max="13" width="10" style="1" customWidth="1" outlineLevel="1"/>
    <col min="14" max="14" width="35" style="73" customWidth="1"/>
    <col min="15" max="15" width="14.7109375" style="73" customWidth="1"/>
    <col min="16" max="16" width="18.85546875" style="1" customWidth="1"/>
    <col min="17" max="17" width="15.140625" style="3" customWidth="1"/>
    <col min="18" max="18" width="9.140625" style="3" customWidth="1"/>
    <col min="19" max="19" width="14.28515625" style="3" customWidth="1"/>
    <col min="20" max="20" width="14.42578125" style="3" customWidth="1"/>
    <col min="21" max="21" width="15.85546875" style="1" customWidth="1"/>
    <col min="22" max="22" width="15.28515625" style="1" customWidth="1"/>
    <col min="23" max="23" width="16.140625" style="37" customWidth="1"/>
  </cols>
  <sheetData>
    <row r="1" spans="1:259" x14ac:dyDescent="0.25">
      <c r="C1" s="63"/>
      <c r="D1" s="36"/>
      <c r="E1" s="36"/>
      <c r="F1" s="36"/>
      <c r="G1" s="36"/>
      <c r="H1" s="36"/>
      <c r="I1" s="10"/>
      <c r="J1" s="10"/>
      <c r="K1" s="10"/>
      <c r="L1" s="10"/>
      <c r="M1" s="10"/>
      <c r="P1" s="109"/>
      <c r="Q1" s="8"/>
      <c r="R1" s="191" t="s">
        <v>26</v>
      </c>
      <c r="S1" s="191"/>
      <c r="T1" s="191"/>
    </row>
    <row r="2" spans="1:259" x14ac:dyDescent="0.25">
      <c r="D2" s="36"/>
      <c r="E2" s="36"/>
      <c r="F2" s="36"/>
      <c r="G2" s="36"/>
      <c r="H2" s="36"/>
      <c r="I2" s="10"/>
      <c r="J2" s="10"/>
      <c r="K2" s="10"/>
      <c r="L2" s="10"/>
      <c r="M2" s="10"/>
      <c r="P2" s="109"/>
      <c r="Q2" s="1"/>
      <c r="R2" s="192"/>
      <c r="S2" s="192"/>
      <c r="T2" s="192"/>
      <c r="U2" s="36"/>
      <c r="V2" s="36"/>
    </row>
    <row r="3" spans="1:259" x14ac:dyDescent="0.25">
      <c r="B3" s="8" t="s">
        <v>21</v>
      </c>
      <c r="C3" s="65" t="s">
        <v>31</v>
      </c>
      <c r="D3" s="45"/>
      <c r="E3" s="45"/>
      <c r="F3" s="45"/>
      <c r="G3" s="45"/>
      <c r="H3" s="36"/>
      <c r="I3" s="10"/>
      <c r="J3" s="10"/>
      <c r="K3" s="10"/>
      <c r="L3" s="10"/>
      <c r="M3" s="10"/>
      <c r="P3" s="109"/>
      <c r="Q3" s="13"/>
      <c r="R3" s="192"/>
      <c r="S3" s="192"/>
      <c r="T3" s="192"/>
      <c r="U3" s="192"/>
      <c r="V3" s="36"/>
    </row>
    <row r="4" spans="1:259" ht="15" customHeight="1" x14ac:dyDescent="0.25">
      <c r="A4" s="62"/>
      <c r="B4" s="8" t="s">
        <v>22</v>
      </c>
      <c r="C4" s="66" t="s">
        <v>82</v>
      </c>
      <c r="D4" s="46"/>
      <c r="E4" s="46"/>
      <c r="F4" s="108"/>
      <c r="G4" s="108"/>
      <c r="H4" s="108"/>
      <c r="I4" s="14"/>
      <c r="J4" s="14"/>
      <c r="K4" s="14"/>
      <c r="L4" s="14"/>
      <c r="M4" s="14"/>
      <c r="P4" s="15"/>
      <c r="Q4" s="8"/>
      <c r="R4" s="193" t="s">
        <v>28</v>
      </c>
      <c r="S4" s="193"/>
      <c r="T4" s="193"/>
      <c r="U4" s="8"/>
      <c r="V4" s="8"/>
    </row>
    <row r="5" spans="1:259" ht="15.75" x14ac:dyDescent="0.25">
      <c r="A5" s="145"/>
      <c r="B5" s="145"/>
      <c r="C5" s="146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99" t="s">
        <v>27</v>
      </c>
      <c r="S5" s="199"/>
      <c r="T5" s="199"/>
      <c r="U5" s="145"/>
      <c r="V5" s="145"/>
      <c r="W5" s="141"/>
    </row>
    <row r="6" spans="1:259" ht="15" customHeight="1" x14ac:dyDescent="0.25">
      <c r="B6" s="3"/>
      <c r="D6" s="3"/>
      <c r="E6" s="3"/>
      <c r="F6" s="3"/>
      <c r="G6" s="3"/>
      <c r="H6" s="62"/>
      <c r="I6" s="62"/>
      <c r="J6" s="62"/>
      <c r="K6" s="62"/>
      <c r="L6" s="62"/>
      <c r="M6" s="62"/>
      <c r="N6" s="62"/>
      <c r="O6" s="62"/>
      <c r="P6" s="62"/>
      <c r="Q6" s="62"/>
      <c r="U6" s="3"/>
      <c r="V6" s="3"/>
      <c r="W6" s="141"/>
    </row>
    <row r="7" spans="1:259" x14ac:dyDescent="0.25">
      <c r="B7" s="17"/>
      <c r="C7" s="68"/>
      <c r="D7" s="17"/>
      <c r="E7" s="3"/>
      <c r="F7" s="3"/>
      <c r="G7" s="3"/>
      <c r="H7" s="200" t="s">
        <v>93</v>
      </c>
      <c r="I7" s="200"/>
      <c r="J7" s="200"/>
      <c r="K7" s="200"/>
      <c r="L7" s="200"/>
      <c r="M7" s="200"/>
      <c r="N7" s="200"/>
      <c r="O7" s="200"/>
      <c r="P7" s="200"/>
      <c r="Q7" s="200"/>
      <c r="U7" s="3"/>
      <c r="V7" s="3"/>
      <c r="W7" s="141"/>
    </row>
    <row r="8" spans="1:259" ht="15" customHeight="1" x14ac:dyDescent="0.25">
      <c r="B8" s="17"/>
      <c r="C8" s="68"/>
      <c r="D8" s="17"/>
      <c r="E8" s="63"/>
      <c r="F8" s="63"/>
      <c r="G8" s="63"/>
      <c r="H8" s="63"/>
      <c r="I8" s="63"/>
      <c r="J8" s="63"/>
      <c r="K8" s="63"/>
      <c r="L8" s="63"/>
      <c r="M8" s="63"/>
      <c r="N8" s="144"/>
      <c r="O8" s="144"/>
      <c r="P8" s="143"/>
      <c r="Q8" s="142"/>
      <c r="R8" s="142"/>
      <c r="S8" s="142"/>
      <c r="U8" s="3"/>
      <c r="V8" s="3"/>
      <c r="W8" s="141"/>
    </row>
    <row r="9" spans="1:259" s="2" customFormat="1" ht="37.5" customHeight="1" x14ac:dyDescent="0.25">
      <c r="A9" s="174" t="s">
        <v>72</v>
      </c>
      <c r="B9" s="174" t="s">
        <v>6</v>
      </c>
      <c r="C9" s="176" t="s">
        <v>9</v>
      </c>
      <c r="D9" s="174" t="s">
        <v>0</v>
      </c>
      <c r="E9" s="174" t="s">
        <v>10</v>
      </c>
      <c r="F9" s="174" t="s">
        <v>19</v>
      </c>
      <c r="G9" s="174" t="s">
        <v>20</v>
      </c>
      <c r="H9" s="174" t="s">
        <v>7</v>
      </c>
      <c r="I9" s="179" t="s">
        <v>16</v>
      </c>
      <c r="J9" s="180"/>
      <c r="K9" s="181"/>
      <c r="L9" s="189" t="s">
        <v>154</v>
      </c>
      <c r="M9" s="184" t="s">
        <v>87</v>
      </c>
      <c r="N9" s="184" t="s">
        <v>11</v>
      </c>
      <c r="O9" s="174" t="s">
        <v>1</v>
      </c>
      <c r="P9" s="179" t="s">
        <v>2</v>
      </c>
      <c r="Q9" s="185"/>
      <c r="R9" s="185"/>
      <c r="S9" s="186"/>
      <c r="T9" s="188" t="s">
        <v>14</v>
      </c>
      <c r="U9" s="188"/>
      <c r="V9" s="188"/>
      <c r="W9" s="184" t="s">
        <v>3</v>
      </c>
    </row>
    <row r="10" spans="1:259" s="2" customFormat="1" ht="47.25" x14ac:dyDescent="0.25">
      <c r="A10" s="175"/>
      <c r="B10" s="175"/>
      <c r="C10" s="177"/>
      <c r="D10" s="175"/>
      <c r="E10" s="178"/>
      <c r="F10" s="175"/>
      <c r="G10" s="175"/>
      <c r="H10" s="175"/>
      <c r="I10" s="104" t="s">
        <v>15</v>
      </c>
      <c r="J10" s="104" t="s">
        <v>17</v>
      </c>
      <c r="K10" s="104" t="s">
        <v>5</v>
      </c>
      <c r="L10" s="190"/>
      <c r="M10" s="184"/>
      <c r="N10" s="184"/>
      <c r="O10" s="175"/>
      <c r="P10" s="106" t="s">
        <v>8</v>
      </c>
      <c r="Q10" s="106" t="s">
        <v>4</v>
      </c>
      <c r="R10" s="106" t="s">
        <v>5</v>
      </c>
      <c r="S10" s="106" t="s">
        <v>3</v>
      </c>
      <c r="T10" s="107" t="s">
        <v>12</v>
      </c>
      <c r="U10" s="107" t="s">
        <v>18</v>
      </c>
      <c r="V10" s="107" t="s">
        <v>13</v>
      </c>
      <c r="W10" s="184"/>
    </row>
    <row r="11" spans="1:259" s="2" customFormat="1" ht="19.5" customHeight="1" x14ac:dyDescent="0.25">
      <c r="A11" s="104">
        <v>1</v>
      </c>
      <c r="B11" s="104">
        <f t="shared" ref="B11:W11" si="0">A11+1</f>
        <v>2</v>
      </c>
      <c r="C11" s="104">
        <f t="shared" si="0"/>
        <v>3</v>
      </c>
      <c r="D11" s="104">
        <f t="shared" si="0"/>
        <v>4</v>
      </c>
      <c r="E11" s="104">
        <f t="shared" si="0"/>
        <v>5</v>
      </c>
      <c r="F11" s="104">
        <f t="shared" si="0"/>
        <v>6</v>
      </c>
      <c r="G11" s="104">
        <f t="shared" si="0"/>
        <v>7</v>
      </c>
      <c r="H11" s="104">
        <f t="shared" si="0"/>
        <v>8</v>
      </c>
      <c r="I11" s="104">
        <f t="shared" si="0"/>
        <v>9</v>
      </c>
      <c r="J11" s="104">
        <f t="shared" si="0"/>
        <v>10</v>
      </c>
      <c r="K11" s="104">
        <f t="shared" si="0"/>
        <v>11</v>
      </c>
      <c r="L11" s="104">
        <f t="shared" si="0"/>
        <v>12</v>
      </c>
      <c r="M11" s="104">
        <f t="shared" si="0"/>
        <v>13</v>
      </c>
      <c r="N11" s="104">
        <f t="shared" si="0"/>
        <v>14</v>
      </c>
      <c r="O11" s="104">
        <f t="shared" si="0"/>
        <v>15</v>
      </c>
      <c r="P11" s="104">
        <f t="shared" si="0"/>
        <v>16</v>
      </c>
      <c r="Q11" s="104">
        <f t="shared" si="0"/>
        <v>17</v>
      </c>
      <c r="R11" s="104">
        <f t="shared" si="0"/>
        <v>18</v>
      </c>
      <c r="S11" s="104">
        <f t="shared" si="0"/>
        <v>19</v>
      </c>
      <c r="T11" s="104">
        <f t="shared" si="0"/>
        <v>20</v>
      </c>
      <c r="U11" s="104">
        <f t="shared" si="0"/>
        <v>21</v>
      </c>
      <c r="V11" s="104">
        <f t="shared" si="0"/>
        <v>22</v>
      </c>
      <c r="W11" s="104">
        <f t="shared" si="0"/>
        <v>23</v>
      </c>
    </row>
    <row r="12" spans="1:259" s="42" customFormat="1" ht="90.75" thickBot="1" x14ac:dyDescent="0.3">
      <c r="A12" s="110">
        <v>1</v>
      </c>
      <c r="B12" s="130" t="s">
        <v>91</v>
      </c>
      <c r="C12" s="129" t="s">
        <v>80</v>
      </c>
      <c r="D12" s="110" t="s">
        <v>34</v>
      </c>
      <c r="E12" s="110"/>
      <c r="F12" s="110" t="s">
        <v>81</v>
      </c>
      <c r="G12" s="110" t="s">
        <v>90</v>
      </c>
      <c r="H12" s="110" t="s">
        <v>77</v>
      </c>
      <c r="I12" s="129" t="s">
        <v>92</v>
      </c>
      <c r="J12" s="129" t="s">
        <v>30</v>
      </c>
      <c r="K12" s="129">
        <v>1</v>
      </c>
      <c r="L12" s="110"/>
      <c r="M12" s="110"/>
      <c r="N12" s="129" t="s">
        <v>86</v>
      </c>
      <c r="O12" s="128"/>
      <c r="P12" s="129"/>
      <c r="Q12" s="128" t="s">
        <v>29</v>
      </c>
      <c r="R12" s="49"/>
      <c r="S12" s="50"/>
      <c r="T12" s="48"/>
      <c r="U12" s="51">
        <v>0</v>
      </c>
      <c r="V12" s="47"/>
      <c r="W12" s="52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43"/>
      <c r="BK12" s="43"/>
      <c r="BL12" s="43"/>
      <c r="BM12" s="43"/>
      <c r="BN12" s="43"/>
      <c r="BO12" s="43"/>
      <c r="BP12" s="43"/>
      <c r="BQ12" s="43"/>
      <c r="BR12" s="43"/>
      <c r="BS12" s="43"/>
      <c r="BT12" s="43"/>
      <c r="BU12" s="43"/>
      <c r="BV12" s="43"/>
      <c r="BW12" s="43"/>
      <c r="BX12" s="43"/>
      <c r="BY12" s="43"/>
      <c r="BZ12" s="43"/>
      <c r="CA12" s="43"/>
      <c r="CB12" s="43"/>
      <c r="CC12" s="43"/>
      <c r="CD12" s="43"/>
      <c r="CE12" s="43"/>
      <c r="CF12" s="43"/>
      <c r="CG12" s="43"/>
      <c r="CH12" s="43"/>
      <c r="CI12" s="43"/>
      <c r="CJ12" s="43"/>
      <c r="CK12" s="43"/>
      <c r="CL12" s="43"/>
      <c r="CM12" s="43"/>
      <c r="CN12" s="43"/>
      <c r="CO12" s="43"/>
      <c r="CP12" s="43"/>
      <c r="CQ12" s="43"/>
      <c r="CR12" s="43"/>
      <c r="CS12" s="43"/>
      <c r="CT12" s="43"/>
      <c r="CU12" s="43"/>
      <c r="CV12" s="43"/>
      <c r="CW12" s="43"/>
      <c r="CX12" s="43"/>
      <c r="CY12" s="43"/>
      <c r="CZ12" s="43"/>
      <c r="DA12" s="43"/>
      <c r="DB12" s="43"/>
      <c r="DC12" s="43"/>
      <c r="DD12" s="43"/>
      <c r="DE12" s="43"/>
      <c r="DF12" s="43"/>
      <c r="DG12" s="43"/>
      <c r="DH12" s="43"/>
      <c r="DI12" s="43"/>
      <c r="DJ12" s="43"/>
      <c r="DK12" s="43"/>
      <c r="DL12" s="43"/>
      <c r="DM12" s="43"/>
      <c r="DN12" s="43"/>
      <c r="DO12" s="43"/>
      <c r="DP12" s="43"/>
      <c r="DQ12" s="43"/>
      <c r="DR12" s="43"/>
      <c r="DS12" s="43"/>
      <c r="DT12" s="43"/>
      <c r="DU12" s="43"/>
      <c r="DV12" s="43"/>
      <c r="DW12" s="43"/>
      <c r="DX12" s="43"/>
      <c r="DY12" s="43"/>
      <c r="DZ12" s="43"/>
      <c r="EA12" s="43"/>
      <c r="EB12" s="43"/>
      <c r="EC12" s="43"/>
      <c r="ED12" s="43"/>
      <c r="EE12" s="43"/>
      <c r="EF12" s="43"/>
      <c r="EG12" s="43"/>
      <c r="EH12" s="43"/>
      <c r="EI12" s="43"/>
      <c r="EJ12" s="43"/>
      <c r="EK12" s="43"/>
      <c r="EL12" s="43"/>
      <c r="EM12" s="43"/>
      <c r="EN12" s="43"/>
      <c r="EO12" s="43"/>
      <c r="EP12" s="43"/>
      <c r="EQ12" s="43"/>
      <c r="ER12" s="43"/>
      <c r="ES12" s="43"/>
      <c r="ET12" s="43"/>
      <c r="EU12" s="43"/>
      <c r="EV12" s="43"/>
      <c r="EW12" s="43"/>
      <c r="EX12" s="43"/>
      <c r="EY12" s="43"/>
      <c r="EZ12" s="43"/>
      <c r="FA12" s="43"/>
      <c r="FB12" s="43"/>
      <c r="FC12" s="43"/>
      <c r="FD12" s="43"/>
      <c r="FE12" s="43"/>
      <c r="FF12" s="43"/>
      <c r="FG12" s="43"/>
      <c r="FH12" s="43"/>
      <c r="FI12" s="43"/>
      <c r="FJ12" s="43"/>
      <c r="FK12" s="43"/>
      <c r="FL12" s="43"/>
      <c r="FM12" s="43"/>
      <c r="FN12" s="43"/>
      <c r="FO12" s="43"/>
      <c r="FP12" s="43"/>
      <c r="FQ12" s="43"/>
      <c r="FR12" s="43"/>
      <c r="FS12" s="43"/>
      <c r="FT12" s="43"/>
      <c r="FU12" s="43"/>
      <c r="FV12" s="43"/>
      <c r="FW12" s="43"/>
      <c r="FX12" s="43"/>
      <c r="FY12" s="43"/>
      <c r="FZ12" s="43"/>
      <c r="GA12" s="43"/>
      <c r="GB12" s="43"/>
      <c r="GC12" s="43"/>
      <c r="GD12" s="43"/>
      <c r="GE12" s="43"/>
      <c r="GF12" s="43"/>
      <c r="GG12" s="43"/>
      <c r="GH12" s="43"/>
      <c r="GI12" s="43"/>
      <c r="GJ12" s="43"/>
      <c r="GK12" s="43"/>
      <c r="GL12" s="43"/>
      <c r="GM12" s="43"/>
      <c r="GN12" s="43"/>
      <c r="GO12" s="43"/>
      <c r="GP12" s="43"/>
      <c r="GQ12" s="43"/>
      <c r="GR12" s="43"/>
      <c r="GS12" s="43"/>
      <c r="GT12" s="43"/>
      <c r="GU12" s="43"/>
      <c r="GV12" s="43"/>
      <c r="GW12" s="43"/>
      <c r="GX12" s="43"/>
      <c r="GY12" s="43"/>
      <c r="GZ12" s="43"/>
      <c r="HA12" s="43"/>
      <c r="HB12" s="43"/>
      <c r="HC12" s="43"/>
      <c r="HD12" s="43"/>
      <c r="HE12" s="43"/>
      <c r="HF12" s="43"/>
      <c r="HG12" s="43"/>
      <c r="HH12" s="43"/>
      <c r="HI12" s="43"/>
      <c r="HJ12" s="43"/>
      <c r="HK12" s="43"/>
      <c r="HL12" s="43"/>
      <c r="HM12" s="43"/>
      <c r="HN12" s="43"/>
      <c r="HO12" s="43"/>
      <c r="HP12" s="43"/>
      <c r="HQ12" s="43"/>
      <c r="HR12" s="43"/>
      <c r="HS12" s="43"/>
      <c r="HT12" s="43"/>
      <c r="HU12" s="43"/>
      <c r="HV12" s="43"/>
      <c r="HW12" s="43"/>
      <c r="HX12" s="43"/>
      <c r="HY12" s="43"/>
      <c r="HZ12" s="43"/>
      <c r="IA12" s="43"/>
      <c r="IB12" s="43"/>
      <c r="IC12" s="43"/>
      <c r="ID12" s="43"/>
      <c r="IE12" s="43"/>
      <c r="IF12" s="43"/>
      <c r="IG12" s="43"/>
      <c r="IH12" s="43"/>
      <c r="II12" s="43"/>
      <c r="IJ12" s="43"/>
      <c r="IK12" s="43"/>
      <c r="IL12" s="43"/>
      <c r="IM12" s="43"/>
      <c r="IN12" s="43"/>
      <c r="IO12" s="43"/>
      <c r="IP12" s="43"/>
      <c r="IQ12" s="43"/>
      <c r="IR12" s="43"/>
      <c r="IS12" s="43"/>
      <c r="IT12" s="43"/>
      <c r="IU12" s="43"/>
      <c r="IV12" s="43"/>
      <c r="IW12" s="43"/>
      <c r="IX12" s="43"/>
      <c r="IY12" s="43"/>
    </row>
    <row r="13" spans="1:259" s="43" customFormat="1" ht="30" x14ac:dyDescent="0.25">
      <c r="A13" s="131">
        <f>A12+1</f>
        <v>2</v>
      </c>
      <c r="B13" s="130" t="s">
        <v>91</v>
      </c>
      <c r="C13" s="129" t="s">
        <v>80</v>
      </c>
      <c r="D13" s="110" t="s">
        <v>34</v>
      </c>
      <c r="E13" s="110"/>
      <c r="F13" s="110" t="s">
        <v>81</v>
      </c>
      <c r="G13" s="110" t="s">
        <v>90</v>
      </c>
      <c r="H13" s="110" t="s">
        <v>77</v>
      </c>
      <c r="I13" s="129" t="s">
        <v>35</v>
      </c>
      <c r="J13" s="129" t="s">
        <v>30</v>
      </c>
      <c r="K13" s="129">
        <v>1</v>
      </c>
      <c r="L13" s="111">
        <v>1</v>
      </c>
      <c r="M13" s="110" t="s">
        <v>59</v>
      </c>
      <c r="N13" s="129" t="s">
        <v>74</v>
      </c>
      <c r="O13" s="128" t="s">
        <v>83</v>
      </c>
      <c r="P13" s="137"/>
      <c r="Q13" s="137"/>
      <c r="R13" s="136"/>
      <c r="S13" s="50"/>
      <c r="T13" s="48"/>
      <c r="U13" s="51">
        <v>0</v>
      </c>
      <c r="V13" s="47"/>
      <c r="W13" s="52"/>
    </row>
    <row r="14" spans="1:259" s="43" customFormat="1" ht="30" x14ac:dyDescent="0.25">
      <c r="A14" s="110" t="s">
        <v>59</v>
      </c>
      <c r="B14" s="130" t="s">
        <v>91</v>
      </c>
      <c r="C14" s="129" t="s">
        <v>80</v>
      </c>
      <c r="D14" s="110" t="s">
        <v>34</v>
      </c>
      <c r="E14" s="130"/>
      <c r="F14" s="110" t="s">
        <v>81</v>
      </c>
      <c r="G14" s="110" t="s">
        <v>90</v>
      </c>
      <c r="H14" s="110" t="s">
        <v>77</v>
      </c>
      <c r="I14" s="129" t="s">
        <v>36</v>
      </c>
      <c r="J14" s="129" t="s">
        <v>30</v>
      </c>
      <c r="K14" s="129">
        <v>1</v>
      </c>
      <c r="L14" s="111">
        <v>0.6</v>
      </c>
      <c r="M14" s="110" t="s">
        <v>59</v>
      </c>
      <c r="N14" s="129" t="s">
        <v>74</v>
      </c>
      <c r="O14" s="128" t="s">
        <v>83</v>
      </c>
      <c r="P14" s="137"/>
      <c r="Q14" s="137"/>
      <c r="R14" s="136"/>
      <c r="S14" s="50"/>
      <c r="T14" s="48"/>
      <c r="U14" s="51">
        <v>0</v>
      </c>
      <c r="V14" s="47"/>
      <c r="W14" s="52"/>
    </row>
    <row r="15" spans="1:259" s="43" customFormat="1" ht="30" x14ac:dyDescent="0.25">
      <c r="A15" s="131">
        <f>A14+1</f>
        <v>4</v>
      </c>
      <c r="B15" s="130" t="s">
        <v>91</v>
      </c>
      <c r="C15" s="129" t="s">
        <v>80</v>
      </c>
      <c r="D15" s="110" t="s">
        <v>34</v>
      </c>
      <c r="E15" s="130"/>
      <c r="F15" s="110" t="s">
        <v>81</v>
      </c>
      <c r="G15" s="110" t="s">
        <v>90</v>
      </c>
      <c r="H15" s="110" t="s">
        <v>77</v>
      </c>
      <c r="I15" s="129" t="s">
        <v>37</v>
      </c>
      <c r="J15" s="129" t="s">
        <v>30</v>
      </c>
      <c r="K15" s="129">
        <v>6</v>
      </c>
      <c r="L15" s="111">
        <v>1.3</v>
      </c>
      <c r="M15" s="110" t="s">
        <v>59</v>
      </c>
      <c r="N15" s="129" t="s">
        <v>74</v>
      </c>
      <c r="O15" s="128" t="s">
        <v>83</v>
      </c>
      <c r="P15" s="137"/>
      <c r="Q15" s="134"/>
      <c r="R15" s="133"/>
      <c r="S15" s="50"/>
      <c r="T15" s="48"/>
      <c r="U15" s="51">
        <v>0</v>
      </c>
      <c r="V15" s="47"/>
      <c r="W15" s="52"/>
    </row>
    <row r="16" spans="1:259" s="43" customFormat="1" ht="29.25" customHeight="1" x14ac:dyDescent="0.25">
      <c r="A16" s="110" t="s">
        <v>60</v>
      </c>
      <c r="B16" s="130" t="s">
        <v>91</v>
      </c>
      <c r="C16" s="129" t="s">
        <v>80</v>
      </c>
      <c r="D16" s="110" t="s">
        <v>34</v>
      </c>
      <c r="E16" s="110"/>
      <c r="F16" s="110" t="s">
        <v>81</v>
      </c>
      <c r="G16" s="110" t="s">
        <v>90</v>
      </c>
      <c r="H16" s="110" t="s">
        <v>77</v>
      </c>
      <c r="I16" s="129" t="s">
        <v>38</v>
      </c>
      <c r="J16" s="129" t="s">
        <v>30</v>
      </c>
      <c r="K16" s="129">
        <v>54</v>
      </c>
      <c r="L16" s="111">
        <v>1.3</v>
      </c>
      <c r="M16" s="110" t="s">
        <v>59</v>
      </c>
      <c r="N16" s="129" t="s">
        <v>74</v>
      </c>
      <c r="O16" s="128" t="s">
        <v>83</v>
      </c>
      <c r="P16" s="137"/>
      <c r="Q16" s="134"/>
      <c r="R16" s="133"/>
      <c r="S16" s="50"/>
      <c r="T16" s="48"/>
      <c r="U16" s="51">
        <v>0</v>
      </c>
      <c r="V16" s="47"/>
      <c r="W16" s="52"/>
    </row>
    <row r="17" spans="1:23" s="43" customFormat="1" ht="30" x14ac:dyDescent="0.25">
      <c r="A17" s="131" t="s">
        <v>61</v>
      </c>
      <c r="B17" s="130" t="s">
        <v>91</v>
      </c>
      <c r="C17" s="129" t="s">
        <v>80</v>
      </c>
      <c r="D17" s="110" t="s">
        <v>34</v>
      </c>
      <c r="E17" s="110"/>
      <c r="F17" s="110" t="s">
        <v>81</v>
      </c>
      <c r="G17" s="110" t="s">
        <v>90</v>
      </c>
      <c r="H17" s="110" t="s">
        <v>77</v>
      </c>
      <c r="I17" s="129" t="s">
        <v>39</v>
      </c>
      <c r="J17" s="129" t="s">
        <v>30</v>
      </c>
      <c r="K17" s="129">
        <v>54</v>
      </c>
      <c r="L17" s="111">
        <v>1</v>
      </c>
      <c r="M17" s="110" t="s">
        <v>59</v>
      </c>
      <c r="N17" s="129" t="s">
        <v>74</v>
      </c>
      <c r="O17" s="128" t="s">
        <v>83</v>
      </c>
      <c r="P17" s="137"/>
      <c r="Q17" s="140"/>
      <c r="R17" s="136"/>
      <c r="S17" s="50"/>
      <c r="T17" s="48"/>
      <c r="U17" s="51">
        <v>0</v>
      </c>
      <c r="V17" s="47"/>
      <c r="W17" s="52"/>
    </row>
    <row r="18" spans="1:23" s="43" customFormat="1" ht="30" x14ac:dyDescent="0.25">
      <c r="A18" s="110" t="s">
        <v>62</v>
      </c>
      <c r="B18" s="130" t="s">
        <v>91</v>
      </c>
      <c r="C18" s="129" t="s">
        <v>80</v>
      </c>
      <c r="D18" s="110" t="s">
        <v>34</v>
      </c>
      <c r="E18" s="110"/>
      <c r="F18" s="110" t="s">
        <v>81</v>
      </c>
      <c r="G18" s="110" t="s">
        <v>90</v>
      </c>
      <c r="H18" s="110" t="s">
        <v>77</v>
      </c>
      <c r="I18" s="129" t="s">
        <v>40</v>
      </c>
      <c r="J18" s="129" t="s">
        <v>30</v>
      </c>
      <c r="K18" s="129">
        <v>1</v>
      </c>
      <c r="L18" s="111">
        <v>0.4</v>
      </c>
      <c r="M18" s="110" t="s">
        <v>59</v>
      </c>
      <c r="N18" s="129" t="s">
        <v>41</v>
      </c>
      <c r="O18" s="128" t="s">
        <v>83</v>
      </c>
      <c r="P18" s="137"/>
      <c r="Q18" s="137"/>
      <c r="R18" s="136"/>
      <c r="S18" s="50"/>
      <c r="T18" s="48"/>
      <c r="U18" s="51">
        <v>0</v>
      </c>
      <c r="V18" s="47"/>
      <c r="W18" s="52"/>
    </row>
    <row r="19" spans="1:23" s="43" customFormat="1" ht="30" x14ac:dyDescent="0.25">
      <c r="A19" s="131" t="s">
        <v>63</v>
      </c>
      <c r="B19" s="130" t="s">
        <v>91</v>
      </c>
      <c r="C19" s="129" t="s">
        <v>80</v>
      </c>
      <c r="D19" s="110" t="s">
        <v>34</v>
      </c>
      <c r="E19" s="110"/>
      <c r="F19" s="110" t="s">
        <v>81</v>
      </c>
      <c r="G19" s="110" t="s">
        <v>90</v>
      </c>
      <c r="H19" s="110" t="s">
        <v>77</v>
      </c>
      <c r="I19" s="129" t="s">
        <v>42</v>
      </c>
      <c r="J19" s="129" t="s">
        <v>30</v>
      </c>
      <c r="K19" s="129">
        <v>158</v>
      </c>
      <c r="L19" s="111">
        <v>0.5</v>
      </c>
      <c r="M19" s="110" t="s">
        <v>59</v>
      </c>
      <c r="N19" s="129" t="s">
        <v>74</v>
      </c>
      <c r="O19" s="128" t="s">
        <v>83</v>
      </c>
      <c r="P19" s="137"/>
      <c r="Q19" s="137"/>
      <c r="R19" s="136"/>
      <c r="S19" s="50"/>
      <c r="T19" s="48"/>
      <c r="U19" s="51">
        <v>0</v>
      </c>
      <c r="V19" s="47"/>
      <c r="W19" s="52"/>
    </row>
    <row r="20" spans="1:23" s="43" customFormat="1" ht="30" x14ac:dyDescent="0.25">
      <c r="A20" s="110" t="s">
        <v>64</v>
      </c>
      <c r="B20" s="130" t="s">
        <v>91</v>
      </c>
      <c r="C20" s="129" t="s">
        <v>80</v>
      </c>
      <c r="D20" s="110" t="s">
        <v>34</v>
      </c>
      <c r="E20" s="110"/>
      <c r="F20" s="110" t="s">
        <v>81</v>
      </c>
      <c r="G20" s="110" t="s">
        <v>90</v>
      </c>
      <c r="H20" s="110" t="s">
        <v>77</v>
      </c>
      <c r="I20" s="129" t="s">
        <v>43</v>
      </c>
      <c r="J20" s="129" t="s">
        <v>30</v>
      </c>
      <c r="K20" s="129">
        <v>4</v>
      </c>
      <c r="L20" s="111">
        <v>0.3</v>
      </c>
      <c r="M20" s="110" t="s">
        <v>59</v>
      </c>
      <c r="N20" s="129" t="s">
        <v>73</v>
      </c>
      <c r="O20" s="128" t="s">
        <v>83</v>
      </c>
      <c r="P20" s="127"/>
      <c r="Q20" s="140"/>
      <c r="R20" s="139"/>
      <c r="S20" s="50"/>
      <c r="T20" s="48"/>
      <c r="U20" s="51">
        <v>0</v>
      </c>
      <c r="V20" s="47"/>
      <c r="W20" s="52"/>
    </row>
    <row r="21" spans="1:23" s="43" customFormat="1" ht="30" x14ac:dyDescent="0.25">
      <c r="A21" s="131">
        <f>A20+1</f>
        <v>10</v>
      </c>
      <c r="B21" s="130" t="s">
        <v>91</v>
      </c>
      <c r="C21" s="129" t="s">
        <v>80</v>
      </c>
      <c r="D21" s="110" t="s">
        <v>34</v>
      </c>
      <c r="E21" s="110"/>
      <c r="F21" s="110" t="s">
        <v>81</v>
      </c>
      <c r="G21" s="110" t="s">
        <v>90</v>
      </c>
      <c r="H21" s="110" t="s">
        <v>77</v>
      </c>
      <c r="I21" s="129" t="s">
        <v>44</v>
      </c>
      <c r="J21" s="129" t="s">
        <v>30</v>
      </c>
      <c r="K21" s="129">
        <v>6</v>
      </c>
      <c r="L21" s="111">
        <v>0.8</v>
      </c>
      <c r="M21" s="110" t="s">
        <v>59</v>
      </c>
      <c r="N21" s="129" t="s">
        <v>73</v>
      </c>
      <c r="O21" s="128" t="s">
        <v>83</v>
      </c>
      <c r="P21" s="127"/>
      <c r="Q21" s="140"/>
      <c r="R21" s="139"/>
      <c r="S21" s="50"/>
      <c r="T21" s="48"/>
      <c r="U21" s="51">
        <v>0</v>
      </c>
      <c r="V21" s="47"/>
      <c r="W21" s="52"/>
    </row>
    <row r="22" spans="1:23" s="43" customFormat="1" ht="30" x14ac:dyDescent="0.25">
      <c r="A22" s="110" t="s">
        <v>65</v>
      </c>
      <c r="B22" s="130" t="s">
        <v>91</v>
      </c>
      <c r="C22" s="129" t="s">
        <v>80</v>
      </c>
      <c r="D22" s="110" t="s">
        <v>34</v>
      </c>
      <c r="E22" s="110"/>
      <c r="F22" s="110" t="s">
        <v>81</v>
      </c>
      <c r="G22" s="110" t="s">
        <v>90</v>
      </c>
      <c r="H22" s="110" t="s">
        <v>77</v>
      </c>
      <c r="I22" s="129" t="s">
        <v>45</v>
      </c>
      <c r="J22" s="129" t="s">
        <v>30</v>
      </c>
      <c r="K22" s="129">
        <v>1</v>
      </c>
      <c r="L22" s="111">
        <v>0.5</v>
      </c>
      <c r="M22" s="110" t="s">
        <v>59</v>
      </c>
      <c r="N22" s="129" t="s">
        <v>73</v>
      </c>
      <c r="O22" s="128" t="s">
        <v>83</v>
      </c>
      <c r="P22" s="138"/>
      <c r="Q22" s="134"/>
      <c r="R22" s="133"/>
      <c r="S22" s="50"/>
      <c r="T22" s="48"/>
      <c r="U22" s="51">
        <v>0</v>
      </c>
      <c r="V22" s="47"/>
      <c r="W22" s="52"/>
    </row>
    <row r="23" spans="1:23" s="43" customFormat="1" ht="30.75" customHeight="1" x14ac:dyDescent="0.25">
      <c r="A23" s="131">
        <f>A22+1</f>
        <v>12</v>
      </c>
      <c r="B23" s="130" t="s">
        <v>91</v>
      </c>
      <c r="C23" s="129" t="s">
        <v>80</v>
      </c>
      <c r="D23" s="110" t="s">
        <v>34</v>
      </c>
      <c r="E23" s="110"/>
      <c r="F23" s="110" t="s">
        <v>81</v>
      </c>
      <c r="G23" s="110" t="s">
        <v>90</v>
      </c>
      <c r="H23" s="110" t="s">
        <v>77</v>
      </c>
      <c r="I23" s="129" t="s">
        <v>46</v>
      </c>
      <c r="J23" s="129" t="s">
        <v>30</v>
      </c>
      <c r="K23" s="129">
        <v>4</v>
      </c>
      <c r="L23" s="111">
        <v>0.7</v>
      </c>
      <c r="M23" s="110" t="s">
        <v>59</v>
      </c>
      <c r="N23" s="129" t="s">
        <v>75</v>
      </c>
      <c r="O23" s="128" t="s">
        <v>83</v>
      </c>
      <c r="P23" s="138"/>
      <c r="Q23" s="134"/>
      <c r="R23" s="133"/>
      <c r="S23" s="50"/>
      <c r="T23" s="48"/>
      <c r="U23" s="51"/>
      <c r="V23" s="47"/>
      <c r="W23" s="52"/>
    </row>
    <row r="24" spans="1:23" s="43" customFormat="1" ht="30" x14ac:dyDescent="0.25">
      <c r="A24" s="110" t="s">
        <v>66</v>
      </c>
      <c r="B24" s="130" t="s">
        <v>91</v>
      </c>
      <c r="C24" s="129" t="s">
        <v>80</v>
      </c>
      <c r="D24" s="110" t="s">
        <v>34</v>
      </c>
      <c r="E24" s="110"/>
      <c r="F24" s="110" t="s">
        <v>81</v>
      </c>
      <c r="G24" s="110" t="s">
        <v>90</v>
      </c>
      <c r="H24" s="110" t="s">
        <v>77</v>
      </c>
      <c r="I24" s="129" t="s">
        <v>51</v>
      </c>
      <c r="J24" s="129" t="s">
        <v>30</v>
      </c>
      <c r="K24" s="129">
        <v>2</v>
      </c>
      <c r="L24" s="111">
        <v>0.6</v>
      </c>
      <c r="M24" s="110" t="s">
        <v>59</v>
      </c>
      <c r="N24" s="129" t="s">
        <v>75</v>
      </c>
      <c r="O24" s="128" t="s">
        <v>83</v>
      </c>
      <c r="P24" s="137"/>
      <c r="Q24" s="137"/>
      <c r="R24" s="136"/>
      <c r="S24" s="50"/>
      <c r="T24" s="48"/>
      <c r="U24" s="51"/>
      <c r="V24" s="47"/>
      <c r="W24" s="52"/>
    </row>
    <row r="25" spans="1:23" s="43" customFormat="1" ht="45" x14ac:dyDescent="0.25">
      <c r="A25" s="131">
        <f>A24+1</f>
        <v>14</v>
      </c>
      <c r="B25" s="130" t="s">
        <v>91</v>
      </c>
      <c r="C25" s="129" t="s">
        <v>80</v>
      </c>
      <c r="D25" s="110" t="s">
        <v>34</v>
      </c>
      <c r="E25" s="110"/>
      <c r="F25" s="110" t="s">
        <v>81</v>
      </c>
      <c r="G25" s="110" t="s">
        <v>90</v>
      </c>
      <c r="H25" s="110" t="s">
        <v>77</v>
      </c>
      <c r="I25" s="129" t="s">
        <v>47</v>
      </c>
      <c r="J25" s="129" t="s">
        <v>30</v>
      </c>
      <c r="K25" s="129">
        <v>2</v>
      </c>
      <c r="L25" s="111">
        <v>0.8</v>
      </c>
      <c r="M25" s="110" t="s">
        <v>59</v>
      </c>
      <c r="N25" s="129" t="s">
        <v>75</v>
      </c>
      <c r="O25" s="128" t="s">
        <v>83</v>
      </c>
      <c r="P25" s="137"/>
      <c r="Q25" s="137"/>
      <c r="R25" s="136"/>
      <c r="S25" s="50"/>
      <c r="T25" s="48"/>
      <c r="U25" s="51"/>
      <c r="V25" s="47"/>
      <c r="W25" s="52"/>
    </row>
    <row r="26" spans="1:23" s="43" customFormat="1" ht="30" x14ac:dyDescent="0.25">
      <c r="A26" s="110" t="s">
        <v>67</v>
      </c>
      <c r="B26" s="130" t="s">
        <v>91</v>
      </c>
      <c r="C26" s="129" t="s">
        <v>80</v>
      </c>
      <c r="D26" s="110" t="s">
        <v>34</v>
      </c>
      <c r="E26" s="110"/>
      <c r="F26" s="110" t="s">
        <v>81</v>
      </c>
      <c r="G26" s="110" t="s">
        <v>90</v>
      </c>
      <c r="H26" s="110" t="s">
        <v>77</v>
      </c>
      <c r="I26" s="129" t="s">
        <v>50</v>
      </c>
      <c r="J26" s="129" t="s">
        <v>30</v>
      </c>
      <c r="K26" s="129">
        <v>1</v>
      </c>
      <c r="L26" s="111">
        <v>0.3</v>
      </c>
      <c r="M26" s="110" t="s">
        <v>59</v>
      </c>
      <c r="N26" s="129" t="s">
        <v>75</v>
      </c>
      <c r="O26" s="128" t="s">
        <v>83</v>
      </c>
      <c r="P26" s="137"/>
      <c r="Q26" s="137"/>
      <c r="R26" s="136"/>
      <c r="S26" s="50"/>
      <c r="T26" s="48"/>
      <c r="U26" s="51"/>
      <c r="V26" s="47"/>
      <c r="W26" s="52"/>
    </row>
    <row r="27" spans="1:23" s="43" customFormat="1" ht="36" customHeight="1" x14ac:dyDescent="0.25">
      <c r="A27" s="131">
        <f>A26+1</f>
        <v>16</v>
      </c>
      <c r="B27" s="130" t="s">
        <v>91</v>
      </c>
      <c r="C27" s="129" t="s">
        <v>80</v>
      </c>
      <c r="D27" s="110" t="s">
        <v>34</v>
      </c>
      <c r="E27" s="110"/>
      <c r="F27" s="110" t="s">
        <v>81</v>
      </c>
      <c r="G27" s="110" t="s">
        <v>90</v>
      </c>
      <c r="H27" s="110" t="s">
        <v>77</v>
      </c>
      <c r="I27" s="129" t="s">
        <v>48</v>
      </c>
      <c r="J27" s="129" t="s">
        <v>30</v>
      </c>
      <c r="K27" s="129">
        <v>1</v>
      </c>
      <c r="L27" s="111">
        <v>0.4</v>
      </c>
      <c r="M27" s="110" t="s">
        <v>59</v>
      </c>
      <c r="N27" s="129" t="s">
        <v>75</v>
      </c>
      <c r="O27" s="128" t="s">
        <v>83</v>
      </c>
      <c r="P27" s="137"/>
      <c r="Q27" s="137"/>
      <c r="R27" s="136"/>
      <c r="S27" s="50"/>
      <c r="T27" s="48"/>
      <c r="U27" s="51">
        <v>0</v>
      </c>
      <c r="V27" s="47"/>
      <c r="W27" s="52"/>
    </row>
    <row r="28" spans="1:23" s="43" customFormat="1" ht="29.25" customHeight="1" x14ac:dyDescent="0.25">
      <c r="A28" s="110" t="s">
        <v>68</v>
      </c>
      <c r="B28" s="130" t="s">
        <v>91</v>
      </c>
      <c r="C28" s="129" t="s">
        <v>80</v>
      </c>
      <c r="D28" s="110" t="s">
        <v>34</v>
      </c>
      <c r="E28" s="110"/>
      <c r="F28" s="110" t="s">
        <v>81</v>
      </c>
      <c r="G28" s="110" t="s">
        <v>90</v>
      </c>
      <c r="H28" s="110" t="s">
        <v>77</v>
      </c>
      <c r="I28" s="129" t="s">
        <v>49</v>
      </c>
      <c r="J28" s="129" t="s">
        <v>30</v>
      </c>
      <c r="K28" s="129">
        <v>1</v>
      </c>
      <c r="L28" s="111">
        <v>2</v>
      </c>
      <c r="M28" s="110" t="s">
        <v>59</v>
      </c>
      <c r="N28" s="129" t="s">
        <v>75</v>
      </c>
      <c r="O28" s="128" t="s">
        <v>83</v>
      </c>
      <c r="P28" s="135"/>
      <c r="Q28" s="134"/>
      <c r="R28" s="133"/>
      <c r="S28" s="50"/>
      <c r="T28" s="48"/>
      <c r="U28" s="51">
        <v>0</v>
      </c>
      <c r="V28" s="47"/>
      <c r="W28" s="52"/>
    </row>
    <row r="29" spans="1:23" s="43" customFormat="1" ht="45" x14ac:dyDescent="0.25">
      <c r="A29" s="131">
        <f>A28+1</f>
        <v>18</v>
      </c>
      <c r="B29" s="130" t="s">
        <v>91</v>
      </c>
      <c r="C29" s="129" t="s">
        <v>80</v>
      </c>
      <c r="D29" s="110" t="s">
        <v>34</v>
      </c>
      <c r="E29" s="110"/>
      <c r="F29" s="110" t="s">
        <v>81</v>
      </c>
      <c r="G29" s="110" t="s">
        <v>90</v>
      </c>
      <c r="H29" s="110" t="s">
        <v>77</v>
      </c>
      <c r="I29" s="129" t="s">
        <v>52</v>
      </c>
      <c r="J29" s="129" t="s">
        <v>30</v>
      </c>
      <c r="K29" s="129">
        <v>1</v>
      </c>
      <c r="L29" s="111">
        <v>1</v>
      </c>
      <c r="M29" s="110" t="s">
        <v>59</v>
      </c>
      <c r="N29" s="129" t="s">
        <v>75</v>
      </c>
      <c r="O29" s="128" t="s">
        <v>83</v>
      </c>
      <c r="P29" s="135"/>
      <c r="Q29" s="134"/>
      <c r="R29" s="133"/>
      <c r="S29" s="50"/>
      <c r="T29" s="48"/>
      <c r="U29" s="51"/>
      <c r="V29" s="47"/>
      <c r="W29" s="52"/>
    </row>
    <row r="30" spans="1:23" ht="36.75" customHeight="1" x14ac:dyDescent="0.25">
      <c r="A30" s="110" t="s">
        <v>69</v>
      </c>
      <c r="B30" s="130" t="s">
        <v>91</v>
      </c>
      <c r="C30" s="129" t="s">
        <v>80</v>
      </c>
      <c r="D30" s="110" t="s">
        <v>34</v>
      </c>
      <c r="E30" s="110"/>
      <c r="F30" s="110" t="s">
        <v>81</v>
      </c>
      <c r="G30" s="110" t="s">
        <v>90</v>
      </c>
      <c r="H30" s="110" t="s">
        <v>77</v>
      </c>
      <c r="I30" s="129" t="s">
        <v>53</v>
      </c>
      <c r="J30" s="129" t="s">
        <v>30</v>
      </c>
      <c r="K30" s="129">
        <v>1</v>
      </c>
      <c r="L30" s="111">
        <v>0.6</v>
      </c>
      <c r="M30" s="110" t="s">
        <v>59</v>
      </c>
      <c r="N30" s="129" t="s">
        <v>75</v>
      </c>
      <c r="O30" s="128" t="s">
        <v>83</v>
      </c>
      <c r="P30" s="127"/>
      <c r="Q30" s="127"/>
      <c r="R30" s="132"/>
      <c r="S30" s="55"/>
      <c r="T30" s="55"/>
      <c r="U30" s="54"/>
      <c r="V30" s="54"/>
      <c r="W30" s="53"/>
    </row>
    <row r="31" spans="1:23" ht="30" x14ac:dyDescent="0.25">
      <c r="A31" s="131">
        <f>A30+1</f>
        <v>20</v>
      </c>
      <c r="B31" s="130" t="s">
        <v>91</v>
      </c>
      <c r="C31" s="129" t="s">
        <v>80</v>
      </c>
      <c r="D31" s="110" t="s">
        <v>34</v>
      </c>
      <c r="E31" s="110"/>
      <c r="F31" s="110" t="s">
        <v>81</v>
      </c>
      <c r="G31" s="110" t="s">
        <v>90</v>
      </c>
      <c r="H31" s="110" t="s">
        <v>77</v>
      </c>
      <c r="I31" s="129" t="s">
        <v>54</v>
      </c>
      <c r="J31" s="129" t="s">
        <v>30</v>
      </c>
      <c r="K31" s="129">
        <v>1</v>
      </c>
      <c r="L31" s="111">
        <v>0.4</v>
      </c>
      <c r="M31" s="110" t="s">
        <v>59</v>
      </c>
      <c r="N31" s="129" t="s">
        <v>75</v>
      </c>
      <c r="O31" s="128" t="s">
        <v>83</v>
      </c>
      <c r="P31" s="127"/>
      <c r="Q31" s="126"/>
      <c r="R31" s="125"/>
      <c r="S31" s="55"/>
      <c r="T31" s="55"/>
      <c r="U31" s="54"/>
      <c r="V31" s="54"/>
      <c r="W31" s="53"/>
    </row>
    <row r="32" spans="1:23" ht="30" x14ac:dyDescent="0.25">
      <c r="A32" s="110" t="s">
        <v>70</v>
      </c>
      <c r="B32" s="130" t="s">
        <v>91</v>
      </c>
      <c r="C32" s="129" t="s">
        <v>80</v>
      </c>
      <c r="D32" s="110" t="s">
        <v>34</v>
      </c>
      <c r="E32" s="110"/>
      <c r="F32" s="110" t="s">
        <v>81</v>
      </c>
      <c r="G32" s="110" t="s">
        <v>90</v>
      </c>
      <c r="H32" s="110" t="s">
        <v>77</v>
      </c>
      <c r="I32" s="129" t="s">
        <v>76</v>
      </c>
      <c r="J32" s="129" t="s">
        <v>30</v>
      </c>
      <c r="K32" s="129">
        <v>1</v>
      </c>
      <c r="L32" s="111">
        <v>1</v>
      </c>
      <c r="M32" s="110" t="s">
        <v>59</v>
      </c>
      <c r="N32" s="129" t="s">
        <v>73</v>
      </c>
      <c r="O32" s="128" t="s">
        <v>83</v>
      </c>
      <c r="P32" s="127"/>
      <c r="Q32" s="126"/>
      <c r="R32" s="125"/>
      <c r="S32" s="55"/>
      <c r="T32" s="55"/>
      <c r="U32" s="54"/>
      <c r="V32" s="54"/>
      <c r="W32" s="53"/>
    </row>
    <row r="33" spans="1:23" ht="30" x14ac:dyDescent="0.25">
      <c r="A33" s="131">
        <f>A32+1</f>
        <v>22</v>
      </c>
      <c r="B33" s="130" t="s">
        <v>91</v>
      </c>
      <c r="C33" s="129" t="s">
        <v>80</v>
      </c>
      <c r="D33" s="110" t="s">
        <v>34</v>
      </c>
      <c r="E33" s="110"/>
      <c r="F33" s="110" t="s">
        <v>81</v>
      </c>
      <c r="G33" s="110" t="s">
        <v>90</v>
      </c>
      <c r="H33" s="110" t="s">
        <v>77</v>
      </c>
      <c r="I33" s="129" t="s">
        <v>55</v>
      </c>
      <c r="J33" s="129" t="s">
        <v>30</v>
      </c>
      <c r="K33" s="129">
        <v>1</v>
      </c>
      <c r="L33" s="111" t="s">
        <v>88</v>
      </c>
      <c r="M33" s="110" t="s">
        <v>88</v>
      </c>
      <c r="N33" s="129" t="s">
        <v>73</v>
      </c>
      <c r="O33" s="128" t="s">
        <v>83</v>
      </c>
      <c r="P33" s="127"/>
      <c r="Q33" s="126"/>
      <c r="R33" s="125"/>
      <c r="S33" s="55"/>
      <c r="T33" s="55"/>
      <c r="U33" s="54"/>
      <c r="V33" s="54"/>
      <c r="W33" s="53"/>
    </row>
    <row r="34" spans="1:23" ht="29.25" customHeight="1" x14ac:dyDescent="0.25">
      <c r="A34" s="110" t="s">
        <v>71</v>
      </c>
      <c r="B34" s="130" t="s">
        <v>91</v>
      </c>
      <c r="C34" s="129" t="s">
        <v>80</v>
      </c>
      <c r="D34" s="110" t="s">
        <v>34</v>
      </c>
      <c r="E34" s="110"/>
      <c r="F34" s="110" t="s">
        <v>81</v>
      </c>
      <c r="G34" s="110" t="s">
        <v>90</v>
      </c>
      <c r="H34" s="110" t="s">
        <v>77</v>
      </c>
      <c r="I34" s="129" t="s">
        <v>56</v>
      </c>
      <c r="J34" s="129" t="s">
        <v>30</v>
      </c>
      <c r="K34" s="129">
        <v>1</v>
      </c>
      <c r="L34" s="111">
        <v>0.3</v>
      </c>
      <c r="M34" s="110" t="s">
        <v>59</v>
      </c>
      <c r="N34" s="129" t="s">
        <v>73</v>
      </c>
      <c r="O34" s="128" t="s">
        <v>83</v>
      </c>
      <c r="P34" s="127"/>
      <c r="Q34" s="126"/>
      <c r="R34" s="125"/>
      <c r="S34" s="55"/>
      <c r="T34" s="55"/>
      <c r="U34" s="54"/>
      <c r="V34" s="54"/>
      <c r="W34" s="53"/>
    </row>
    <row r="35" spans="1:23" ht="30" x14ac:dyDescent="0.25">
      <c r="A35" s="131">
        <f>A34+1</f>
        <v>24</v>
      </c>
      <c r="B35" s="130" t="s">
        <v>91</v>
      </c>
      <c r="C35" s="129" t="s">
        <v>80</v>
      </c>
      <c r="D35" s="110" t="s">
        <v>34</v>
      </c>
      <c r="E35" s="110"/>
      <c r="F35" s="110" t="s">
        <v>81</v>
      </c>
      <c r="G35" s="110" t="s">
        <v>90</v>
      </c>
      <c r="H35" s="110" t="s">
        <v>77</v>
      </c>
      <c r="I35" s="129" t="s">
        <v>57</v>
      </c>
      <c r="J35" s="129" t="s">
        <v>30</v>
      </c>
      <c r="K35" s="129">
        <v>1</v>
      </c>
      <c r="L35" s="111">
        <v>0.4</v>
      </c>
      <c r="M35" s="110" t="s">
        <v>59</v>
      </c>
      <c r="N35" s="129" t="s">
        <v>73</v>
      </c>
      <c r="O35" s="128" t="s">
        <v>83</v>
      </c>
      <c r="P35" s="127"/>
      <c r="Q35" s="126"/>
      <c r="R35" s="125"/>
      <c r="S35" s="55"/>
      <c r="T35" s="55"/>
      <c r="U35" s="54"/>
      <c r="V35" s="54"/>
      <c r="W35" s="53"/>
    </row>
    <row r="36" spans="1:23" ht="24" customHeight="1" x14ac:dyDescent="0.25">
      <c r="A36" s="124"/>
      <c r="B36" s="123"/>
      <c r="C36" s="116"/>
      <c r="D36" s="118"/>
      <c r="E36" s="118"/>
      <c r="F36" s="118"/>
      <c r="G36" s="118"/>
      <c r="H36" s="118"/>
      <c r="I36" s="118"/>
      <c r="J36" s="118"/>
      <c r="K36" s="118"/>
      <c r="L36" s="118">
        <f>SUM(L13:L35)</f>
        <v>16.200000000000003</v>
      </c>
      <c r="M36" s="118"/>
      <c r="N36" s="116"/>
      <c r="O36" s="122"/>
      <c r="P36" s="121"/>
      <c r="Q36" s="120"/>
      <c r="R36" s="119"/>
    </row>
    <row r="37" spans="1:23" x14ac:dyDescent="0.25">
      <c r="A37" s="124"/>
      <c r="B37" s="123"/>
      <c r="C37" s="116"/>
      <c r="D37" s="118"/>
      <c r="E37" s="118"/>
      <c r="F37" s="118"/>
      <c r="G37" s="118"/>
      <c r="H37" s="118"/>
      <c r="I37" s="116"/>
      <c r="J37" s="116"/>
      <c r="K37" s="116"/>
      <c r="L37" s="116"/>
      <c r="M37" s="116"/>
      <c r="N37" s="116"/>
      <c r="O37" s="122"/>
      <c r="P37" s="121"/>
      <c r="Q37" s="120"/>
      <c r="R37" s="119"/>
    </row>
    <row r="38" spans="1:23" x14ac:dyDescent="0.25">
      <c r="A38" s="124"/>
      <c r="B38" s="123"/>
      <c r="C38" s="116"/>
      <c r="D38" s="118"/>
      <c r="E38" s="118"/>
      <c r="F38" s="118"/>
      <c r="G38" s="118"/>
      <c r="H38" s="118"/>
      <c r="I38" s="116"/>
      <c r="J38" s="116"/>
      <c r="K38" s="116"/>
      <c r="L38" s="116"/>
      <c r="M38" s="116"/>
      <c r="N38" s="116"/>
      <c r="O38" s="122"/>
      <c r="P38" s="121"/>
      <c r="Q38" s="120"/>
      <c r="R38" s="119"/>
    </row>
    <row r="39" spans="1:23" x14ac:dyDescent="0.25">
      <c r="H39" s="197" t="s">
        <v>23</v>
      </c>
      <c r="I39" s="197"/>
      <c r="J39" s="36"/>
      <c r="K39" s="117"/>
      <c r="L39" s="117"/>
      <c r="M39" s="117"/>
      <c r="N39" s="115"/>
      <c r="O39" s="115"/>
      <c r="P39" s="116"/>
      <c r="Q39" s="115"/>
      <c r="R39" s="114"/>
    </row>
    <row r="40" spans="1:23" x14ac:dyDescent="0.25">
      <c r="H40" s="118"/>
      <c r="I40" s="109"/>
      <c r="J40" s="36"/>
      <c r="K40" s="117"/>
      <c r="L40" s="117"/>
      <c r="M40" s="117"/>
      <c r="N40" s="115"/>
      <c r="O40" s="115"/>
      <c r="P40" s="116"/>
      <c r="Q40" s="115"/>
      <c r="R40" s="114"/>
    </row>
    <row r="41" spans="1:23" x14ac:dyDescent="0.25">
      <c r="I41" s="64" t="s">
        <v>32</v>
      </c>
      <c r="K41" s="198" t="s">
        <v>79</v>
      </c>
      <c r="L41" s="198"/>
      <c r="M41" s="198"/>
      <c r="N41" s="198"/>
      <c r="O41" s="198"/>
      <c r="Q41" s="113"/>
      <c r="R41" s="113"/>
    </row>
    <row r="42" spans="1:23" x14ac:dyDescent="0.25">
      <c r="K42" s="196" t="s">
        <v>24</v>
      </c>
      <c r="L42" s="196"/>
      <c r="M42" s="196"/>
      <c r="N42" s="196"/>
      <c r="O42" s="196"/>
      <c r="Q42" s="196" t="s">
        <v>25</v>
      </c>
      <c r="R42" s="196"/>
    </row>
    <row r="43" spans="1:23" x14ac:dyDescent="0.25">
      <c r="I43" s="64" t="s">
        <v>84</v>
      </c>
      <c r="K43" s="198" t="s">
        <v>78</v>
      </c>
      <c r="L43" s="198"/>
      <c r="M43" s="198"/>
      <c r="N43" s="198"/>
      <c r="O43" s="198"/>
      <c r="Q43" s="113"/>
      <c r="R43" s="113"/>
    </row>
    <row r="44" spans="1:23" x14ac:dyDescent="0.25">
      <c r="K44" s="196" t="s">
        <v>24</v>
      </c>
      <c r="L44" s="196"/>
      <c r="M44" s="196"/>
      <c r="N44" s="196"/>
      <c r="O44" s="196"/>
      <c r="Q44" s="196" t="s">
        <v>25</v>
      </c>
      <c r="R44" s="196"/>
    </row>
  </sheetData>
  <autoFilter ref="A11:U11" xr:uid="{00000000-0009-0000-0000-000000000000}"/>
  <mergeCells count="29">
    <mergeCell ref="H7:Q7"/>
    <mergeCell ref="Q42:R42"/>
    <mergeCell ref="N9:N10"/>
    <mergeCell ref="R1:T1"/>
    <mergeCell ref="R2:T2"/>
    <mergeCell ref="R4:T4"/>
    <mergeCell ref="R5:T5"/>
    <mergeCell ref="R3:U3"/>
    <mergeCell ref="W9:W10"/>
    <mergeCell ref="T9:V9"/>
    <mergeCell ref="L9:L10"/>
    <mergeCell ref="M9:M10"/>
    <mergeCell ref="K44:O44"/>
    <mergeCell ref="Q44:R44"/>
    <mergeCell ref="I9:K9"/>
    <mergeCell ref="H39:I39"/>
    <mergeCell ref="K41:O41"/>
    <mergeCell ref="K42:O42"/>
    <mergeCell ref="K43:O43"/>
    <mergeCell ref="O9:O10"/>
    <mergeCell ref="P9:S9"/>
    <mergeCell ref="A9:A10"/>
    <mergeCell ref="B9:B10"/>
    <mergeCell ref="C9:C10"/>
    <mergeCell ref="D9:D10"/>
    <mergeCell ref="H9:H10"/>
    <mergeCell ref="E9:E10"/>
    <mergeCell ref="F9:F10"/>
    <mergeCell ref="G9:G10"/>
  </mergeCells>
  <pageMargins left="0.31496062992125984" right="0.31496062992125984" top="0.35433070866141736" bottom="0.35433070866141736" header="0.31496062992125984" footer="0.31496062992125984"/>
  <pageSetup paperSize="8" scale="58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E4D53-00BA-43CD-9BB1-CE9E559971E8}">
  <sheetPr codeName="Лист3">
    <pageSetUpPr fitToPage="1"/>
  </sheetPr>
  <dimension ref="A1:IY42"/>
  <sheetViews>
    <sheetView zoomScale="85" zoomScaleNormal="85" workbookViewId="0">
      <selection activeCell="L9" sqref="L9:L10"/>
    </sheetView>
  </sheetViews>
  <sheetFormatPr defaultRowHeight="15.75" outlineLevelCol="1" x14ac:dyDescent="0.25"/>
  <cols>
    <col min="1" max="1" width="7.140625" style="3" bestFit="1" customWidth="1"/>
    <col min="2" max="2" width="13.7109375" style="1" customWidth="1"/>
    <col min="3" max="3" width="21.5703125" style="64" customWidth="1"/>
    <col min="4" max="4" width="13.7109375" style="1" customWidth="1"/>
    <col min="5" max="7" width="15.5703125" style="1" customWidth="1"/>
    <col min="8" max="8" width="9.28515625" style="1" customWidth="1"/>
    <col min="9" max="9" width="45.5703125" style="147" customWidth="1" outlineLevel="1"/>
    <col min="10" max="10" width="13" style="1" customWidth="1" outlineLevel="1"/>
    <col min="11" max="13" width="10" style="1" customWidth="1" outlineLevel="1"/>
    <col min="14" max="14" width="35" style="37" customWidth="1"/>
    <col min="15" max="15" width="15.28515625" style="37" customWidth="1"/>
    <col min="16" max="16" width="18.85546875" style="1" customWidth="1"/>
    <col min="17" max="17" width="15.140625" style="3" customWidth="1"/>
    <col min="18" max="18" width="9.140625" style="3" customWidth="1"/>
    <col min="19" max="19" width="14.28515625" style="3" customWidth="1"/>
    <col min="20" max="20" width="14.42578125" style="3" customWidth="1"/>
    <col min="21" max="21" width="15.85546875" style="1" customWidth="1"/>
    <col min="22" max="22" width="15.28515625" style="1" customWidth="1"/>
    <col min="23" max="23" width="16.140625" style="37" customWidth="1"/>
  </cols>
  <sheetData>
    <row r="1" spans="1:259" x14ac:dyDescent="0.25">
      <c r="C1" s="63"/>
      <c r="D1" s="36"/>
      <c r="E1" s="36"/>
      <c r="F1" s="36"/>
      <c r="G1" s="36"/>
      <c r="H1" s="36"/>
      <c r="I1" s="172"/>
      <c r="J1" s="10"/>
      <c r="K1" s="10"/>
      <c r="L1" s="10"/>
      <c r="M1" s="10"/>
      <c r="P1" s="109"/>
      <c r="Q1" s="8"/>
      <c r="R1" s="191" t="s">
        <v>26</v>
      </c>
      <c r="S1" s="191"/>
      <c r="T1" s="191"/>
    </row>
    <row r="2" spans="1:259" x14ac:dyDescent="0.25">
      <c r="D2" s="36"/>
      <c r="E2" s="36"/>
      <c r="F2" s="36"/>
      <c r="G2" s="36"/>
      <c r="H2" s="36"/>
      <c r="I2" s="172"/>
      <c r="J2" s="10"/>
      <c r="K2" s="10"/>
      <c r="L2" s="10"/>
      <c r="M2" s="10"/>
      <c r="P2" s="109"/>
      <c r="Q2" s="1"/>
      <c r="R2" s="192"/>
      <c r="S2" s="192"/>
      <c r="T2" s="192"/>
      <c r="U2" s="36"/>
      <c r="V2" s="36"/>
    </row>
    <row r="3" spans="1:259" ht="29.25" x14ac:dyDescent="0.25">
      <c r="B3" s="8" t="s">
        <v>21</v>
      </c>
      <c r="C3" s="65" t="s">
        <v>31</v>
      </c>
      <c r="D3" s="45"/>
      <c r="E3" s="45"/>
      <c r="F3" s="45"/>
      <c r="G3" s="45"/>
      <c r="H3" s="36"/>
      <c r="I3" s="172"/>
      <c r="J3" s="10"/>
      <c r="K3" s="10"/>
      <c r="L3" s="10"/>
      <c r="M3" s="10"/>
      <c r="P3" s="109"/>
      <c r="Q3" s="13"/>
      <c r="R3" s="192"/>
      <c r="S3" s="192"/>
      <c r="T3" s="192"/>
      <c r="U3" s="192"/>
      <c r="V3" s="36"/>
    </row>
    <row r="4" spans="1:259" ht="15" customHeight="1" x14ac:dyDescent="0.25">
      <c r="A4" s="62"/>
      <c r="B4" s="8" t="s">
        <v>22</v>
      </c>
      <c r="C4" s="66" t="s">
        <v>82</v>
      </c>
      <c r="D4" s="46"/>
      <c r="E4" s="46"/>
      <c r="F4" s="108"/>
      <c r="G4" s="108"/>
      <c r="H4" s="108"/>
      <c r="I4" s="171"/>
      <c r="J4" s="14"/>
      <c r="K4" s="14"/>
      <c r="L4" s="14"/>
      <c r="M4" s="14"/>
      <c r="P4" s="15"/>
      <c r="Q4" s="8"/>
      <c r="R4" s="193" t="s">
        <v>28</v>
      </c>
      <c r="S4" s="193"/>
      <c r="T4" s="193"/>
      <c r="U4" s="8"/>
      <c r="V4" s="8"/>
    </row>
    <row r="5" spans="1:259" x14ac:dyDescent="0.25">
      <c r="A5" s="145"/>
      <c r="B5" s="145"/>
      <c r="C5" s="146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99" t="s">
        <v>27</v>
      </c>
      <c r="S5" s="199"/>
      <c r="T5" s="199"/>
      <c r="U5" s="145"/>
      <c r="V5" s="145"/>
      <c r="W5" s="141"/>
    </row>
    <row r="6" spans="1:259" ht="15" customHeight="1" x14ac:dyDescent="0.25">
      <c r="B6" s="3"/>
      <c r="D6" s="3"/>
      <c r="E6" s="3"/>
      <c r="F6" s="3"/>
      <c r="G6" s="3"/>
      <c r="H6" s="62"/>
      <c r="I6" s="145"/>
      <c r="J6" s="62"/>
      <c r="K6" s="62"/>
      <c r="L6" s="62"/>
      <c r="M6" s="62"/>
      <c r="N6" s="62"/>
      <c r="O6" s="62"/>
      <c r="P6" s="62"/>
      <c r="Q6" s="62"/>
      <c r="U6" s="3"/>
      <c r="V6" s="3"/>
      <c r="W6" s="141"/>
    </row>
    <row r="7" spans="1:259" ht="15" x14ac:dyDescent="0.25">
      <c r="B7" s="17"/>
      <c r="C7" s="68"/>
      <c r="D7" s="17"/>
      <c r="E7" s="3"/>
      <c r="F7" s="3"/>
      <c r="G7" s="3"/>
      <c r="H7" s="200" t="s">
        <v>141</v>
      </c>
      <c r="I7" s="200"/>
      <c r="J7" s="200"/>
      <c r="K7" s="200"/>
      <c r="L7" s="200"/>
      <c r="M7" s="200"/>
      <c r="N7" s="200"/>
      <c r="O7" s="200"/>
      <c r="P7" s="200"/>
      <c r="Q7" s="200"/>
      <c r="U7" s="3"/>
      <c r="V7" s="3"/>
      <c r="W7" s="141"/>
    </row>
    <row r="8" spans="1:259" ht="15" customHeight="1" x14ac:dyDescent="0.25">
      <c r="B8" s="17"/>
      <c r="C8" s="68"/>
      <c r="D8" s="17"/>
      <c r="E8" s="63"/>
      <c r="F8" s="63"/>
      <c r="G8" s="63"/>
      <c r="H8" s="63"/>
      <c r="I8" s="146"/>
      <c r="J8" s="63"/>
      <c r="K8" s="63"/>
      <c r="L8" s="63"/>
      <c r="M8" s="63"/>
      <c r="N8" s="141"/>
      <c r="O8" s="141"/>
      <c r="P8" s="143"/>
      <c r="Q8" s="142"/>
      <c r="R8" s="142"/>
      <c r="S8" s="142"/>
      <c r="U8" s="3"/>
      <c r="V8" s="3"/>
      <c r="W8" s="141"/>
    </row>
    <row r="9" spans="1:259" s="2" customFormat="1" ht="37.5" customHeight="1" x14ac:dyDescent="0.25">
      <c r="A9" s="174" t="s">
        <v>140</v>
      </c>
      <c r="B9" s="174" t="s">
        <v>6</v>
      </c>
      <c r="C9" s="176" t="s">
        <v>9</v>
      </c>
      <c r="D9" s="174" t="s">
        <v>0</v>
      </c>
      <c r="E9" s="174" t="s">
        <v>10</v>
      </c>
      <c r="F9" s="174" t="s">
        <v>19</v>
      </c>
      <c r="G9" s="174" t="s">
        <v>20</v>
      </c>
      <c r="H9" s="174" t="s">
        <v>7</v>
      </c>
      <c r="I9" s="179" t="s">
        <v>16</v>
      </c>
      <c r="J9" s="180"/>
      <c r="K9" s="181"/>
      <c r="L9" s="189" t="s">
        <v>154</v>
      </c>
      <c r="M9" s="184" t="s">
        <v>87</v>
      </c>
      <c r="N9" s="184" t="s">
        <v>11</v>
      </c>
      <c r="O9" s="174" t="s">
        <v>1</v>
      </c>
      <c r="P9" s="179" t="s">
        <v>2</v>
      </c>
      <c r="Q9" s="185"/>
      <c r="R9" s="185"/>
      <c r="S9" s="186"/>
      <c r="T9" s="188" t="s">
        <v>14</v>
      </c>
      <c r="U9" s="188"/>
      <c r="V9" s="188"/>
      <c r="W9" s="184" t="s">
        <v>3</v>
      </c>
    </row>
    <row r="10" spans="1:259" s="2" customFormat="1" ht="47.25" x14ac:dyDescent="0.25">
      <c r="A10" s="175"/>
      <c r="B10" s="175"/>
      <c r="C10" s="177"/>
      <c r="D10" s="175"/>
      <c r="E10" s="178"/>
      <c r="F10" s="175"/>
      <c r="G10" s="175"/>
      <c r="H10" s="175"/>
      <c r="I10" s="170" t="s">
        <v>15</v>
      </c>
      <c r="J10" s="104" t="s">
        <v>17</v>
      </c>
      <c r="K10" s="104" t="s">
        <v>5</v>
      </c>
      <c r="L10" s="190"/>
      <c r="M10" s="184"/>
      <c r="N10" s="184"/>
      <c r="O10" s="175"/>
      <c r="P10" s="106" t="s">
        <v>8</v>
      </c>
      <c r="Q10" s="106" t="s">
        <v>4</v>
      </c>
      <c r="R10" s="106" t="s">
        <v>5</v>
      </c>
      <c r="S10" s="106" t="s">
        <v>3</v>
      </c>
      <c r="T10" s="107" t="s">
        <v>12</v>
      </c>
      <c r="U10" s="107" t="s">
        <v>18</v>
      </c>
      <c r="V10" s="107" t="s">
        <v>13</v>
      </c>
      <c r="W10" s="184"/>
    </row>
    <row r="11" spans="1:259" s="2" customFormat="1" x14ac:dyDescent="0.25">
      <c r="A11" s="104">
        <v>1</v>
      </c>
      <c r="B11" s="104">
        <f t="shared" ref="B11:W11" si="0">A11+1</f>
        <v>2</v>
      </c>
      <c r="C11" s="105">
        <f t="shared" si="0"/>
        <v>3</v>
      </c>
      <c r="D11" s="104">
        <f t="shared" si="0"/>
        <v>4</v>
      </c>
      <c r="E11" s="104">
        <f t="shared" si="0"/>
        <v>5</v>
      </c>
      <c r="F11" s="104">
        <f t="shared" si="0"/>
        <v>6</v>
      </c>
      <c r="G11" s="104">
        <f t="shared" si="0"/>
        <v>7</v>
      </c>
      <c r="H11" s="104">
        <f t="shared" si="0"/>
        <v>8</v>
      </c>
      <c r="I11" s="170">
        <f t="shared" si="0"/>
        <v>9</v>
      </c>
      <c r="J11" s="104">
        <f t="shared" si="0"/>
        <v>10</v>
      </c>
      <c r="K11" s="104">
        <f t="shared" si="0"/>
        <v>11</v>
      </c>
      <c r="L11" s="104">
        <f t="shared" si="0"/>
        <v>12</v>
      </c>
      <c r="M11" s="104">
        <f t="shared" si="0"/>
        <v>13</v>
      </c>
      <c r="N11" s="104">
        <f t="shared" si="0"/>
        <v>14</v>
      </c>
      <c r="O11" s="104">
        <f t="shared" si="0"/>
        <v>15</v>
      </c>
      <c r="P11" s="104">
        <f t="shared" si="0"/>
        <v>16</v>
      </c>
      <c r="Q11" s="104">
        <f t="shared" si="0"/>
        <v>17</v>
      </c>
      <c r="R11" s="104">
        <f t="shared" si="0"/>
        <v>18</v>
      </c>
      <c r="S11" s="104">
        <f t="shared" si="0"/>
        <v>19</v>
      </c>
      <c r="T11" s="104">
        <f t="shared" si="0"/>
        <v>20</v>
      </c>
      <c r="U11" s="104">
        <f t="shared" si="0"/>
        <v>21</v>
      </c>
      <c r="V11" s="104">
        <f t="shared" si="0"/>
        <v>22</v>
      </c>
      <c r="W11" s="104">
        <f t="shared" si="0"/>
        <v>23</v>
      </c>
    </row>
    <row r="12" spans="1:259" s="42" customFormat="1" ht="90.75" thickBot="1" x14ac:dyDescent="0.3">
      <c r="A12" s="110">
        <v>1</v>
      </c>
      <c r="B12" s="130" t="s">
        <v>117</v>
      </c>
      <c r="C12" s="129" t="s">
        <v>116</v>
      </c>
      <c r="D12" s="110" t="s">
        <v>34</v>
      </c>
      <c r="E12" s="110" t="s">
        <v>103</v>
      </c>
      <c r="F12" s="110" t="s">
        <v>102</v>
      </c>
      <c r="G12" s="110" t="s">
        <v>115</v>
      </c>
      <c r="H12" s="110" t="s">
        <v>100</v>
      </c>
      <c r="I12" s="110" t="s">
        <v>139</v>
      </c>
      <c r="J12" s="110" t="s">
        <v>30</v>
      </c>
      <c r="K12" s="110">
        <v>1</v>
      </c>
      <c r="L12" s="110"/>
      <c r="M12" s="110"/>
      <c r="N12" s="110" t="s">
        <v>138</v>
      </c>
      <c r="O12" s="110"/>
      <c r="P12" s="47"/>
      <c r="Q12" s="48" t="s">
        <v>29</v>
      </c>
      <c r="R12" s="49"/>
      <c r="S12" s="50"/>
      <c r="T12" s="48"/>
      <c r="U12" s="51">
        <v>0</v>
      </c>
      <c r="V12" s="47"/>
      <c r="W12" s="52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43"/>
      <c r="BK12" s="43"/>
      <c r="BL12" s="43"/>
      <c r="BM12" s="43"/>
      <c r="BN12" s="43"/>
      <c r="BO12" s="43"/>
      <c r="BP12" s="43"/>
      <c r="BQ12" s="43"/>
      <c r="BR12" s="43"/>
      <c r="BS12" s="43"/>
      <c r="BT12" s="43"/>
      <c r="BU12" s="43"/>
      <c r="BV12" s="43"/>
      <c r="BW12" s="43"/>
      <c r="BX12" s="43"/>
      <c r="BY12" s="43"/>
      <c r="BZ12" s="43"/>
      <c r="CA12" s="43"/>
      <c r="CB12" s="43"/>
      <c r="CC12" s="43"/>
      <c r="CD12" s="43"/>
      <c r="CE12" s="43"/>
      <c r="CF12" s="43"/>
      <c r="CG12" s="43"/>
      <c r="CH12" s="43"/>
      <c r="CI12" s="43"/>
      <c r="CJ12" s="43"/>
      <c r="CK12" s="43"/>
      <c r="CL12" s="43"/>
      <c r="CM12" s="43"/>
      <c r="CN12" s="43"/>
      <c r="CO12" s="43"/>
      <c r="CP12" s="43"/>
      <c r="CQ12" s="43"/>
      <c r="CR12" s="43"/>
      <c r="CS12" s="43"/>
      <c r="CT12" s="43"/>
      <c r="CU12" s="43"/>
      <c r="CV12" s="43"/>
      <c r="CW12" s="43"/>
      <c r="CX12" s="43"/>
      <c r="CY12" s="43"/>
      <c r="CZ12" s="43"/>
      <c r="DA12" s="43"/>
      <c r="DB12" s="43"/>
      <c r="DC12" s="43"/>
      <c r="DD12" s="43"/>
      <c r="DE12" s="43"/>
      <c r="DF12" s="43"/>
      <c r="DG12" s="43"/>
      <c r="DH12" s="43"/>
      <c r="DI12" s="43"/>
      <c r="DJ12" s="43"/>
      <c r="DK12" s="43"/>
      <c r="DL12" s="43"/>
      <c r="DM12" s="43"/>
      <c r="DN12" s="43"/>
      <c r="DO12" s="43"/>
      <c r="DP12" s="43"/>
      <c r="DQ12" s="43"/>
      <c r="DR12" s="43"/>
      <c r="DS12" s="43"/>
      <c r="DT12" s="43"/>
      <c r="DU12" s="43"/>
      <c r="DV12" s="43"/>
      <c r="DW12" s="43"/>
      <c r="DX12" s="43"/>
      <c r="DY12" s="43"/>
      <c r="DZ12" s="43"/>
      <c r="EA12" s="43"/>
      <c r="EB12" s="43"/>
      <c r="EC12" s="43"/>
      <c r="ED12" s="43"/>
      <c r="EE12" s="43"/>
      <c r="EF12" s="43"/>
      <c r="EG12" s="43"/>
      <c r="EH12" s="43"/>
      <c r="EI12" s="43"/>
      <c r="EJ12" s="43"/>
      <c r="EK12" s="43"/>
      <c r="EL12" s="43"/>
      <c r="EM12" s="43"/>
      <c r="EN12" s="43"/>
      <c r="EO12" s="43"/>
      <c r="EP12" s="43"/>
      <c r="EQ12" s="43"/>
      <c r="ER12" s="43"/>
      <c r="ES12" s="43"/>
      <c r="ET12" s="43"/>
      <c r="EU12" s="43"/>
      <c r="EV12" s="43"/>
      <c r="EW12" s="43"/>
      <c r="EX12" s="43"/>
      <c r="EY12" s="43"/>
      <c r="EZ12" s="43"/>
      <c r="FA12" s="43"/>
      <c r="FB12" s="43"/>
      <c r="FC12" s="43"/>
      <c r="FD12" s="43"/>
      <c r="FE12" s="43"/>
      <c r="FF12" s="43"/>
      <c r="FG12" s="43"/>
      <c r="FH12" s="43"/>
      <c r="FI12" s="43"/>
      <c r="FJ12" s="43"/>
      <c r="FK12" s="43"/>
      <c r="FL12" s="43"/>
      <c r="FM12" s="43"/>
      <c r="FN12" s="43"/>
      <c r="FO12" s="43"/>
      <c r="FP12" s="43"/>
      <c r="FQ12" s="43"/>
      <c r="FR12" s="43"/>
      <c r="FS12" s="43"/>
      <c r="FT12" s="43"/>
      <c r="FU12" s="43"/>
      <c r="FV12" s="43"/>
      <c r="FW12" s="43"/>
      <c r="FX12" s="43"/>
      <c r="FY12" s="43"/>
      <c r="FZ12" s="43"/>
      <c r="GA12" s="43"/>
      <c r="GB12" s="43"/>
      <c r="GC12" s="43"/>
      <c r="GD12" s="43"/>
      <c r="GE12" s="43"/>
      <c r="GF12" s="43"/>
      <c r="GG12" s="43"/>
      <c r="GH12" s="43"/>
      <c r="GI12" s="43"/>
      <c r="GJ12" s="43"/>
      <c r="GK12" s="43"/>
      <c r="GL12" s="43"/>
      <c r="GM12" s="43"/>
      <c r="GN12" s="43"/>
      <c r="GO12" s="43"/>
      <c r="GP12" s="43"/>
      <c r="GQ12" s="43"/>
      <c r="GR12" s="43"/>
      <c r="GS12" s="43"/>
      <c r="GT12" s="43"/>
      <c r="GU12" s="43"/>
      <c r="GV12" s="43"/>
      <c r="GW12" s="43"/>
      <c r="GX12" s="43"/>
      <c r="GY12" s="43"/>
      <c r="GZ12" s="43"/>
      <c r="HA12" s="43"/>
      <c r="HB12" s="43"/>
      <c r="HC12" s="43"/>
      <c r="HD12" s="43"/>
      <c r="HE12" s="43"/>
      <c r="HF12" s="43"/>
      <c r="HG12" s="43"/>
      <c r="HH12" s="43"/>
      <c r="HI12" s="43"/>
      <c r="HJ12" s="43"/>
      <c r="HK12" s="43"/>
      <c r="HL12" s="43"/>
      <c r="HM12" s="43"/>
      <c r="HN12" s="43"/>
      <c r="HO12" s="43"/>
      <c r="HP12" s="43"/>
      <c r="HQ12" s="43"/>
      <c r="HR12" s="43"/>
      <c r="HS12" s="43"/>
      <c r="HT12" s="43"/>
      <c r="HU12" s="43"/>
      <c r="HV12" s="43"/>
      <c r="HW12" s="43"/>
      <c r="HX12" s="43"/>
      <c r="HY12" s="43"/>
      <c r="HZ12" s="43"/>
      <c r="IA12" s="43"/>
      <c r="IB12" s="43"/>
      <c r="IC12" s="43"/>
      <c r="ID12" s="43"/>
      <c r="IE12" s="43"/>
      <c r="IF12" s="43"/>
      <c r="IG12" s="43"/>
      <c r="IH12" s="43"/>
      <c r="II12" s="43"/>
      <c r="IJ12" s="43"/>
      <c r="IK12" s="43"/>
      <c r="IL12" s="43"/>
      <c r="IM12" s="43"/>
      <c r="IN12" s="43"/>
      <c r="IO12" s="43"/>
      <c r="IP12" s="43"/>
      <c r="IQ12" s="43"/>
      <c r="IR12" s="43"/>
      <c r="IS12" s="43"/>
      <c r="IT12" s="43"/>
      <c r="IU12" s="43"/>
      <c r="IV12" s="43"/>
      <c r="IW12" s="43"/>
      <c r="IX12" s="43"/>
      <c r="IY12" s="43"/>
    </row>
    <row r="13" spans="1:259" s="43" customFormat="1" ht="30" x14ac:dyDescent="0.25">
      <c r="A13" s="110">
        <v>2</v>
      </c>
      <c r="B13" s="130" t="s">
        <v>117</v>
      </c>
      <c r="C13" s="129" t="s">
        <v>116</v>
      </c>
      <c r="D13" s="110" t="s">
        <v>34</v>
      </c>
      <c r="E13" s="110" t="s">
        <v>103</v>
      </c>
      <c r="F13" s="110" t="s">
        <v>102</v>
      </c>
      <c r="G13" s="110" t="s">
        <v>115</v>
      </c>
      <c r="H13" s="110" t="s">
        <v>100</v>
      </c>
      <c r="I13" s="110" t="s">
        <v>137</v>
      </c>
      <c r="J13" s="110" t="s">
        <v>30</v>
      </c>
      <c r="K13" s="110">
        <v>1</v>
      </c>
      <c r="L13" s="111">
        <v>0.7</v>
      </c>
      <c r="M13" s="110" t="s">
        <v>59</v>
      </c>
      <c r="N13" s="110" t="s">
        <v>128</v>
      </c>
      <c r="O13" s="110" t="s">
        <v>83</v>
      </c>
      <c r="P13" s="136"/>
      <c r="Q13" s="136"/>
      <c r="R13" s="136"/>
      <c r="S13" s="50"/>
      <c r="T13" s="48"/>
      <c r="U13" s="51">
        <v>0</v>
      </c>
      <c r="V13" s="47"/>
      <c r="W13" s="52"/>
    </row>
    <row r="14" spans="1:259" s="43" customFormat="1" ht="30" x14ac:dyDescent="0.25">
      <c r="A14" s="110">
        <v>3</v>
      </c>
      <c r="B14" s="130" t="s">
        <v>117</v>
      </c>
      <c r="C14" s="129" t="s">
        <v>116</v>
      </c>
      <c r="D14" s="110" t="s">
        <v>34</v>
      </c>
      <c r="E14" s="110" t="s">
        <v>103</v>
      </c>
      <c r="F14" s="110" t="s">
        <v>102</v>
      </c>
      <c r="G14" s="110" t="s">
        <v>115</v>
      </c>
      <c r="H14" s="110" t="s">
        <v>100</v>
      </c>
      <c r="I14" s="110" t="s">
        <v>136</v>
      </c>
      <c r="J14" s="110" t="s">
        <v>30</v>
      </c>
      <c r="K14" s="110" t="s">
        <v>59</v>
      </c>
      <c r="L14" s="111">
        <v>0.6</v>
      </c>
      <c r="M14" s="110" t="s">
        <v>59</v>
      </c>
      <c r="N14" s="110" t="s">
        <v>128</v>
      </c>
      <c r="O14" s="110" t="s">
        <v>83</v>
      </c>
      <c r="P14" s="136"/>
      <c r="Q14" s="136"/>
      <c r="R14" s="136"/>
      <c r="S14" s="50"/>
      <c r="T14" s="48"/>
      <c r="U14" s="51">
        <v>0</v>
      </c>
      <c r="V14" s="47"/>
      <c r="W14" s="52"/>
    </row>
    <row r="15" spans="1:259" s="43" customFormat="1" ht="30" x14ac:dyDescent="0.25">
      <c r="A15" s="110">
        <v>4</v>
      </c>
      <c r="B15" s="130" t="s">
        <v>117</v>
      </c>
      <c r="C15" s="129" t="s">
        <v>116</v>
      </c>
      <c r="D15" s="110" t="s">
        <v>34</v>
      </c>
      <c r="E15" s="110" t="s">
        <v>103</v>
      </c>
      <c r="F15" s="110" t="s">
        <v>102</v>
      </c>
      <c r="G15" s="110" t="s">
        <v>115</v>
      </c>
      <c r="H15" s="110" t="s">
        <v>100</v>
      </c>
      <c r="I15" s="110" t="s">
        <v>135</v>
      </c>
      <c r="J15" s="110" t="s">
        <v>30</v>
      </c>
      <c r="K15" s="110" t="s">
        <v>134</v>
      </c>
      <c r="L15" s="111">
        <v>0.6</v>
      </c>
      <c r="M15" s="110" t="s">
        <v>59</v>
      </c>
      <c r="N15" s="110" t="s">
        <v>97</v>
      </c>
      <c r="O15" s="110" t="s">
        <v>83</v>
      </c>
      <c r="P15" s="169"/>
      <c r="Q15" s="133"/>
      <c r="R15" s="133"/>
      <c r="S15" s="50"/>
      <c r="T15" s="48"/>
      <c r="U15" s="51">
        <v>0</v>
      </c>
      <c r="V15" s="47"/>
      <c r="W15" s="52"/>
    </row>
    <row r="16" spans="1:259" s="43" customFormat="1" ht="30" x14ac:dyDescent="0.25">
      <c r="A16" s="110">
        <v>5</v>
      </c>
      <c r="B16" s="130" t="s">
        <v>117</v>
      </c>
      <c r="C16" s="129" t="s">
        <v>116</v>
      </c>
      <c r="D16" s="110" t="s">
        <v>34</v>
      </c>
      <c r="E16" s="110" t="s">
        <v>103</v>
      </c>
      <c r="F16" s="110" t="s">
        <v>102</v>
      </c>
      <c r="G16" s="110" t="s">
        <v>115</v>
      </c>
      <c r="H16" s="110" t="s">
        <v>100</v>
      </c>
      <c r="I16" s="110" t="s">
        <v>133</v>
      </c>
      <c r="J16" s="110" t="s">
        <v>30</v>
      </c>
      <c r="K16" s="110">
        <v>1</v>
      </c>
      <c r="L16" s="111">
        <v>0.7</v>
      </c>
      <c r="M16" s="110" t="s">
        <v>59</v>
      </c>
      <c r="N16" s="110" t="s">
        <v>128</v>
      </c>
      <c r="O16" s="110" t="s">
        <v>83</v>
      </c>
      <c r="P16" s="168"/>
      <c r="Q16" s="133"/>
      <c r="R16" s="133"/>
      <c r="S16" s="50"/>
      <c r="T16" s="48"/>
      <c r="U16" s="51">
        <v>0</v>
      </c>
      <c r="V16" s="47"/>
      <c r="W16" s="52"/>
    </row>
    <row r="17" spans="1:23" s="43" customFormat="1" ht="30" x14ac:dyDescent="0.25">
      <c r="A17" s="110">
        <v>6</v>
      </c>
      <c r="B17" s="130" t="s">
        <v>117</v>
      </c>
      <c r="C17" s="129" t="s">
        <v>116</v>
      </c>
      <c r="D17" s="110" t="s">
        <v>34</v>
      </c>
      <c r="E17" s="110" t="s">
        <v>103</v>
      </c>
      <c r="F17" s="110" t="s">
        <v>102</v>
      </c>
      <c r="G17" s="110" t="s">
        <v>115</v>
      </c>
      <c r="H17" s="110" t="s">
        <v>100</v>
      </c>
      <c r="I17" s="110" t="s">
        <v>132</v>
      </c>
      <c r="J17" s="110" t="s">
        <v>30</v>
      </c>
      <c r="K17" s="110">
        <v>1</v>
      </c>
      <c r="L17" s="111">
        <v>0.5</v>
      </c>
      <c r="M17" s="110" t="s">
        <v>59</v>
      </c>
      <c r="N17" s="110" t="s">
        <v>128</v>
      </c>
      <c r="O17" s="110" t="s">
        <v>83</v>
      </c>
      <c r="P17" s="136"/>
      <c r="Q17" s="136"/>
      <c r="R17" s="136"/>
      <c r="S17" s="50"/>
      <c r="T17" s="48"/>
      <c r="U17" s="51">
        <v>0</v>
      </c>
      <c r="V17" s="47"/>
      <c r="W17" s="52"/>
    </row>
    <row r="18" spans="1:23" s="43" customFormat="1" ht="30" x14ac:dyDescent="0.25">
      <c r="A18" s="110">
        <v>7</v>
      </c>
      <c r="B18" s="130" t="s">
        <v>117</v>
      </c>
      <c r="C18" s="129" t="s">
        <v>116</v>
      </c>
      <c r="D18" s="110" t="s">
        <v>34</v>
      </c>
      <c r="E18" s="110" t="s">
        <v>103</v>
      </c>
      <c r="F18" s="110" t="s">
        <v>102</v>
      </c>
      <c r="G18" s="110" t="s">
        <v>115</v>
      </c>
      <c r="H18" s="110" t="s">
        <v>100</v>
      </c>
      <c r="I18" s="110" t="s">
        <v>131</v>
      </c>
      <c r="J18" s="110" t="s">
        <v>30</v>
      </c>
      <c r="K18" s="110">
        <v>1</v>
      </c>
      <c r="L18" s="111">
        <v>0.4</v>
      </c>
      <c r="M18" s="110" t="s">
        <v>59</v>
      </c>
      <c r="N18" s="110" t="s">
        <v>97</v>
      </c>
      <c r="O18" s="110" t="s">
        <v>83</v>
      </c>
      <c r="P18" s="136"/>
      <c r="Q18" s="136"/>
      <c r="R18" s="136"/>
      <c r="S18" s="50"/>
      <c r="T18" s="48"/>
      <c r="U18" s="51">
        <v>0</v>
      </c>
      <c r="V18" s="47"/>
      <c r="W18" s="52"/>
    </row>
    <row r="19" spans="1:23" s="43" customFormat="1" ht="30" x14ac:dyDescent="0.25">
      <c r="A19" s="110">
        <v>8</v>
      </c>
      <c r="B19" s="130" t="s">
        <v>119</v>
      </c>
      <c r="C19" s="129" t="s">
        <v>116</v>
      </c>
      <c r="D19" s="110" t="s">
        <v>34</v>
      </c>
      <c r="E19" s="110" t="s">
        <v>103</v>
      </c>
      <c r="F19" s="110" t="s">
        <v>102</v>
      </c>
      <c r="G19" s="110" t="s">
        <v>115</v>
      </c>
      <c r="H19" s="110" t="s">
        <v>100</v>
      </c>
      <c r="I19" s="110" t="s">
        <v>130</v>
      </c>
      <c r="J19" s="110" t="s">
        <v>30</v>
      </c>
      <c r="K19" s="110">
        <v>1</v>
      </c>
      <c r="L19" s="111">
        <v>0.2</v>
      </c>
      <c r="M19" s="110" t="s">
        <v>59</v>
      </c>
      <c r="N19" s="110" t="s">
        <v>128</v>
      </c>
      <c r="O19" s="110" t="s">
        <v>83</v>
      </c>
      <c r="P19" s="136"/>
      <c r="Q19" s="133"/>
      <c r="R19" s="133"/>
      <c r="S19" s="50"/>
      <c r="T19" s="48"/>
      <c r="U19" s="51">
        <v>0</v>
      </c>
      <c r="V19" s="47"/>
      <c r="W19" s="52"/>
    </row>
    <row r="20" spans="1:23" s="43" customFormat="1" ht="30" x14ac:dyDescent="0.25">
      <c r="A20" s="110">
        <v>9</v>
      </c>
      <c r="B20" s="130" t="s">
        <v>119</v>
      </c>
      <c r="C20" s="129" t="s">
        <v>116</v>
      </c>
      <c r="D20" s="110" t="s">
        <v>34</v>
      </c>
      <c r="E20" s="110" t="s">
        <v>103</v>
      </c>
      <c r="F20" s="110" t="s">
        <v>102</v>
      </c>
      <c r="G20" s="110" t="s">
        <v>115</v>
      </c>
      <c r="H20" s="110" t="s">
        <v>100</v>
      </c>
      <c r="I20" s="110" t="s">
        <v>129</v>
      </c>
      <c r="J20" s="110" t="s">
        <v>30</v>
      </c>
      <c r="K20" s="110">
        <v>1</v>
      </c>
      <c r="L20" s="111">
        <v>0.2</v>
      </c>
      <c r="M20" s="110" t="s">
        <v>59</v>
      </c>
      <c r="N20" s="110" t="s">
        <v>128</v>
      </c>
      <c r="O20" s="110" t="s">
        <v>83</v>
      </c>
      <c r="P20" s="132"/>
      <c r="Q20" s="133"/>
      <c r="R20" s="133"/>
      <c r="S20" s="50"/>
      <c r="T20" s="48"/>
      <c r="U20" s="51">
        <v>0</v>
      </c>
      <c r="V20" s="47"/>
      <c r="W20" s="52"/>
    </row>
    <row r="21" spans="1:23" s="43" customFormat="1" ht="30" x14ac:dyDescent="0.25">
      <c r="A21" s="110">
        <v>10</v>
      </c>
      <c r="B21" s="130" t="s">
        <v>117</v>
      </c>
      <c r="C21" s="129" t="s">
        <v>116</v>
      </c>
      <c r="D21" s="110" t="s">
        <v>34</v>
      </c>
      <c r="E21" s="110" t="s">
        <v>103</v>
      </c>
      <c r="F21" s="110" t="s">
        <v>102</v>
      </c>
      <c r="G21" s="110" t="s">
        <v>115</v>
      </c>
      <c r="H21" s="110" t="s">
        <v>100</v>
      </c>
      <c r="I21" s="110" t="s">
        <v>127</v>
      </c>
      <c r="J21" s="110" t="s">
        <v>30</v>
      </c>
      <c r="K21" s="110">
        <v>1</v>
      </c>
      <c r="L21" s="111">
        <v>0.8</v>
      </c>
      <c r="M21" s="110" t="s">
        <v>59</v>
      </c>
      <c r="N21" s="110" t="s">
        <v>97</v>
      </c>
      <c r="O21" s="110" t="s">
        <v>83</v>
      </c>
      <c r="P21" s="132"/>
      <c r="Q21" s="133"/>
      <c r="R21" s="133"/>
      <c r="S21" s="50"/>
      <c r="T21" s="48"/>
      <c r="U21" s="51">
        <v>0</v>
      </c>
      <c r="V21" s="47"/>
      <c r="W21" s="52"/>
    </row>
    <row r="22" spans="1:23" s="43" customFormat="1" ht="30" x14ac:dyDescent="0.25">
      <c r="A22" s="110">
        <v>11</v>
      </c>
      <c r="B22" s="130" t="s">
        <v>119</v>
      </c>
      <c r="C22" s="129" t="s">
        <v>116</v>
      </c>
      <c r="D22" s="110" t="s">
        <v>34</v>
      </c>
      <c r="E22" s="110" t="s">
        <v>103</v>
      </c>
      <c r="F22" s="110" t="s">
        <v>102</v>
      </c>
      <c r="G22" s="110" t="s">
        <v>115</v>
      </c>
      <c r="H22" s="110" t="s">
        <v>100</v>
      </c>
      <c r="I22" s="110" t="s">
        <v>126</v>
      </c>
      <c r="J22" s="110" t="s">
        <v>30</v>
      </c>
      <c r="K22" s="110">
        <v>2</v>
      </c>
      <c r="L22" s="111">
        <v>0.5</v>
      </c>
      <c r="M22" s="110" t="s">
        <v>59</v>
      </c>
      <c r="N22" s="110" t="s">
        <v>97</v>
      </c>
      <c r="O22" s="110" t="s">
        <v>83</v>
      </c>
      <c r="P22" s="132"/>
      <c r="Q22" s="133"/>
      <c r="R22" s="133"/>
      <c r="S22" s="50"/>
      <c r="T22" s="48"/>
      <c r="U22" s="51">
        <v>0</v>
      </c>
      <c r="V22" s="47"/>
      <c r="W22" s="52"/>
    </row>
    <row r="23" spans="1:23" s="43" customFormat="1" ht="30" x14ac:dyDescent="0.25">
      <c r="A23" s="110">
        <v>12</v>
      </c>
      <c r="B23" s="130" t="s">
        <v>117</v>
      </c>
      <c r="C23" s="129" t="s">
        <v>116</v>
      </c>
      <c r="D23" s="110" t="s">
        <v>34</v>
      </c>
      <c r="E23" s="110" t="s">
        <v>103</v>
      </c>
      <c r="F23" s="110" t="s">
        <v>102</v>
      </c>
      <c r="G23" s="110" t="s">
        <v>115</v>
      </c>
      <c r="H23" s="110" t="s">
        <v>100</v>
      </c>
      <c r="I23" s="110" t="s">
        <v>125</v>
      </c>
      <c r="J23" s="110" t="s">
        <v>30</v>
      </c>
      <c r="K23" s="110" t="s">
        <v>124</v>
      </c>
      <c r="L23" s="111">
        <v>0.7</v>
      </c>
      <c r="M23" s="110" t="s">
        <v>59</v>
      </c>
      <c r="N23" s="110" t="s">
        <v>97</v>
      </c>
      <c r="O23" s="110" t="s">
        <v>83</v>
      </c>
      <c r="P23" s="132"/>
      <c r="Q23" s="133"/>
      <c r="R23" s="133"/>
      <c r="S23" s="50"/>
      <c r="T23" s="48"/>
      <c r="U23" s="51">
        <v>0</v>
      </c>
      <c r="V23" s="47"/>
      <c r="W23" s="52"/>
    </row>
    <row r="24" spans="1:23" s="43" customFormat="1" ht="30" x14ac:dyDescent="0.25">
      <c r="A24" s="110">
        <v>13</v>
      </c>
      <c r="B24" s="130" t="s">
        <v>117</v>
      </c>
      <c r="C24" s="129" t="s">
        <v>116</v>
      </c>
      <c r="D24" s="110" t="s">
        <v>34</v>
      </c>
      <c r="E24" s="110" t="s">
        <v>103</v>
      </c>
      <c r="F24" s="110" t="s">
        <v>102</v>
      </c>
      <c r="G24" s="110" t="s">
        <v>115</v>
      </c>
      <c r="H24" s="110" t="s">
        <v>100</v>
      </c>
      <c r="I24" s="110" t="s">
        <v>123</v>
      </c>
      <c r="J24" s="110" t="s">
        <v>30</v>
      </c>
      <c r="K24" s="110">
        <v>1</v>
      </c>
      <c r="L24" s="111">
        <v>0.6</v>
      </c>
      <c r="M24" s="110" t="s">
        <v>59</v>
      </c>
      <c r="N24" s="110" t="s">
        <v>97</v>
      </c>
      <c r="O24" s="110" t="s">
        <v>83</v>
      </c>
      <c r="P24" s="110" t="s">
        <v>96</v>
      </c>
      <c r="Q24" s="110" t="s">
        <v>95</v>
      </c>
      <c r="R24" s="110">
        <v>1</v>
      </c>
      <c r="S24" s="50"/>
      <c r="T24" s="48"/>
      <c r="U24" s="51">
        <v>0</v>
      </c>
      <c r="V24" s="47"/>
      <c r="W24" s="52"/>
    </row>
    <row r="25" spans="1:23" s="43" customFormat="1" ht="30" x14ac:dyDescent="0.25">
      <c r="A25" s="110">
        <v>14</v>
      </c>
      <c r="B25" s="130" t="s">
        <v>117</v>
      </c>
      <c r="C25" s="129" t="s">
        <v>116</v>
      </c>
      <c r="D25" s="110" t="s">
        <v>34</v>
      </c>
      <c r="E25" s="110" t="s">
        <v>103</v>
      </c>
      <c r="F25" s="110" t="s">
        <v>102</v>
      </c>
      <c r="G25" s="110" t="s">
        <v>115</v>
      </c>
      <c r="H25" s="110" t="s">
        <v>100</v>
      </c>
      <c r="I25" s="110" t="s">
        <v>122</v>
      </c>
      <c r="J25" s="110" t="s">
        <v>30</v>
      </c>
      <c r="K25" s="110">
        <v>1</v>
      </c>
      <c r="L25" s="111">
        <v>0.8</v>
      </c>
      <c r="M25" s="110" t="s">
        <v>59</v>
      </c>
      <c r="N25" s="110" t="s">
        <v>97</v>
      </c>
      <c r="O25" s="110" t="s">
        <v>83</v>
      </c>
      <c r="P25" s="110" t="s">
        <v>96</v>
      </c>
      <c r="Q25" s="110" t="s">
        <v>95</v>
      </c>
      <c r="R25" s="110">
        <v>1</v>
      </c>
      <c r="S25" s="50"/>
      <c r="T25" s="48"/>
      <c r="U25" s="51">
        <v>0</v>
      </c>
      <c r="V25" s="47"/>
      <c r="W25" s="52"/>
    </row>
    <row r="26" spans="1:23" s="43" customFormat="1" ht="30" x14ac:dyDescent="0.25">
      <c r="A26" s="110">
        <v>15</v>
      </c>
      <c r="B26" s="130" t="s">
        <v>117</v>
      </c>
      <c r="C26" s="129" t="s">
        <v>116</v>
      </c>
      <c r="D26" s="110" t="s">
        <v>34</v>
      </c>
      <c r="E26" s="110" t="s">
        <v>103</v>
      </c>
      <c r="F26" s="110" t="s">
        <v>102</v>
      </c>
      <c r="G26" s="110" t="s">
        <v>115</v>
      </c>
      <c r="H26" s="110" t="s">
        <v>100</v>
      </c>
      <c r="I26" s="110" t="s">
        <v>121</v>
      </c>
      <c r="J26" s="110" t="s">
        <v>30</v>
      </c>
      <c r="K26" s="110">
        <v>1</v>
      </c>
      <c r="L26" s="111">
        <v>0.7</v>
      </c>
      <c r="M26" s="110" t="s">
        <v>59</v>
      </c>
      <c r="N26" s="110" t="s">
        <v>97</v>
      </c>
      <c r="O26" s="110" t="s">
        <v>83</v>
      </c>
      <c r="P26" s="110" t="s">
        <v>120</v>
      </c>
      <c r="Q26" s="110" t="s">
        <v>95</v>
      </c>
      <c r="R26" s="110">
        <v>1</v>
      </c>
      <c r="S26" s="167"/>
      <c r="T26" s="166"/>
      <c r="U26" s="165">
        <v>0</v>
      </c>
      <c r="V26" s="164"/>
      <c r="W26" s="163"/>
    </row>
    <row r="27" spans="1:23" s="43" customFormat="1" ht="30" x14ac:dyDescent="0.25">
      <c r="A27" s="110">
        <v>16</v>
      </c>
      <c r="B27" s="130" t="s">
        <v>119</v>
      </c>
      <c r="C27" s="129" t="s">
        <v>116</v>
      </c>
      <c r="D27" s="110" t="s">
        <v>34</v>
      </c>
      <c r="E27" s="110" t="s">
        <v>103</v>
      </c>
      <c r="F27" s="110" t="s">
        <v>102</v>
      </c>
      <c r="G27" s="110" t="s">
        <v>115</v>
      </c>
      <c r="H27" s="110" t="s">
        <v>100</v>
      </c>
      <c r="I27" s="110" t="s">
        <v>118</v>
      </c>
      <c r="J27" s="110" t="s">
        <v>30</v>
      </c>
      <c r="K27" s="110" t="s">
        <v>98</v>
      </c>
      <c r="L27" s="111">
        <v>1</v>
      </c>
      <c r="M27" s="110" t="s">
        <v>59</v>
      </c>
      <c r="N27" s="110" t="s">
        <v>97</v>
      </c>
      <c r="O27" s="110" t="s">
        <v>83</v>
      </c>
      <c r="P27" s="110"/>
      <c r="Q27" s="110" t="s">
        <v>29</v>
      </c>
      <c r="R27" s="110"/>
      <c r="S27" s="50"/>
      <c r="T27" s="48"/>
      <c r="U27" s="51">
        <v>0</v>
      </c>
      <c r="V27" s="47"/>
      <c r="W27" s="52"/>
    </row>
    <row r="28" spans="1:23" s="43" customFormat="1" ht="45" x14ac:dyDescent="0.25">
      <c r="A28" s="110">
        <v>17</v>
      </c>
      <c r="B28" s="130" t="s">
        <v>117</v>
      </c>
      <c r="C28" s="129" t="s">
        <v>116</v>
      </c>
      <c r="D28" s="110" t="s">
        <v>34</v>
      </c>
      <c r="E28" s="110" t="s">
        <v>103</v>
      </c>
      <c r="F28" s="110" t="s">
        <v>102</v>
      </c>
      <c r="G28" s="110" t="s">
        <v>115</v>
      </c>
      <c r="H28" s="110" t="s">
        <v>100</v>
      </c>
      <c r="I28" s="110" t="s">
        <v>114</v>
      </c>
      <c r="J28" s="110" t="s">
        <v>30</v>
      </c>
      <c r="K28" s="110">
        <v>1</v>
      </c>
      <c r="L28" s="111">
        <v>2</v>
      </c>
      <c r="M28" s="110" t="s">
        <v>59</v>
      </c>
      <c r="N28" s="110" t="s">
        <v>97</v>
      </c>
      <c r="O28" s="110" t="s">
        <v>113</v>
      </c>
      <c r="P28" s="110"/>
      <c r="Q28" s="110"/>
      <c r="R28" s="110"/>
      <c r="S28" s="50"/>
      <c r="T28" s="48"/>
      <c r="U28" s="51">
        <v>0</v>
      </c>
      <c r="V28" s="47"/>
      <c r="W28" s="52"/>
    </row>
    <row r="29" spans="1:23" s="43" customFormat="1" ht="64.5" customHeight="1" x14ac:dyDescent="0.25">
      <c r="A29" s="110">
        <v>18</v>
      </c>
      <c r="B29" s="130" t="s">
        <v>112</v>
      </c>
      <c r="C29" s="129" t="s">
        <v>111</v>
      </c>
      <c r="D29" s="110" t="s">
        <v>34</v>
      </c>
      <c r="E29" s="110" t="s">
        <v>103</v>
      </c>
      <c r="F29" s="110" t="s">
        <v>102</v>
      </c>
      <c r="G29" s="110" t="s">
        <v>110</v>
      </c>
      <c r="H29" s="110" t="s">
        <v>100</v>
      </c>
      <c r="I29" s="110" t="s">
        <v>109</v>
      </c>
      <c r="J29" s="110" t="s">
        <v>30</v>
      </c>
      <c r="K29" s="110">
        <v>1</v>
      </c>
      <c r="L29" s="111">
        <v>1</v>
      </c>
      <c r="M29" s="110" t="s">
        <v>59</v>
      </c>
      <c r="N29" s="110" t="s">
        <v>97</v>
      </c>
      <c r="O29" s="110" t="s">
        <v>83</v>
      </c>
      <c r="P29" s="110"/>
      <c r="Q29" s="110"/>
      <c r="R29" s="110"/>
      <c r="S29" s="50"/>
      <c r="T29" s="48"/>
      <c r="U29" s="51"/>
      <c r="V29" s="47"/>
      <c r="W29" s="52"/>
    </row>
    <row r="30" spans="1:23" s="43" customFormat="1" ht="36.75" customHeight="1" x14ac:dyDescent="0.25">
      <c r="A30" s="110">
        <v>19</v>
      </c>
      <c r="B30" s="130" t="s">
        <v>108</v>
      </c>
      <c r="C30" s="129" t="s">
        <v>107</v>
      </c>
      <c r="D30" s="110" t="s">
        <v>34</v>
      </c>
      <c r="E30" s="110" t="s">
        <v>103</v>
      </c>
      <c r="F30" s="110" t="s">
        <v>102</v>
      </c>
      <c r="G30" s="110" t="s">
        <v>106</v>
      </c>
      <c r="H30" s="110" t="s">
        <v>100</v>
      </c>
      <c r="I30" s="110" t="s">
        <v>99</v>
      </c>
      <c r="J30" s="110" t="s">
        <v>30</v>
      </c>
      <c r="K30" s="110" t="s">
        <v>98</v>
      </c>
      <c r="L30" s="111">
        <v>0.4</v>
      </c>
      <c r="M30" s="110" t="s">
        <v>59</v>
      </c>
      <c r="N30" s="110" t="s">
        <v>97</v>
      </c>
      <c r="O30" s="110" t="s">
        <v>83</v>
      </c>
      <c r="P30" s="110" t="s">
        <v>96</v>
      </c>
      <c r="Q30" s="110" t="s">
        <v>95</v>
      </c>
      <c r="R30" s="110">
        <v>2</v>
      </c>
      <c r="S30" s="50"/>
      <c r="T30" s="48"/>
      <c r="U30" s="51"/>
      <c r="V30" s="47"/>
      <c r="W30" s="52"/>
    </row>
    <row r="31" spans="1:23" s="43" customFormat="1" ht="30" x14ac:dyDescent="0.25">
      <c r="A31" s="110">
        <v>20</v>
      </c>
      <c r="B31" s="130" t="s">
        <v>105</v>
      </c>
      <c r="C31" s="129" t="s">
        <v>104</v>
      </c>
      <c r="D31" s="110" t="s">
        <v>34</v>
      </c>
      <c r="E31" s="110" t="s">
        <v>103</v>
      </c>
      <c r="F31" s="110" t="s">
        <v>102</v>
      </c>
      <c r="G31" s="110" t="s">
        <v>101</v>
      </c>
      <c r="H31" s="110" t="s">
        <v>100</v>
      </c>
      <c r="I31" s="110" t="s">
        <v>99</v>
      </c>
      <c r="J31" s="110" t="s">
        <v>30</v>
      </c>
      <c r="K31" s="110" t="s">
        <v>98</v>
      </c>
      <c r="L31" s="111">
        <v>0.4</v>
      </c>
      <c r="M31" s="110" t="s">
        <v>59</v>
      </c>
      <c r="N31" s="110" t="s">
        <v>97</v>
      </c>
      <c r="O31" s="110" t="s">
        <v>83</v>
      </c>
      <c r="P31" s="110" t="s">
        <v>96</v>
      </c>
      <c r="Q31" s="110" t="s">
        <v>95</v>
      </c>
      <c r="R31" s="110">
        <v>2</v>
      </c>
      <c r="S31" s="50"/>
      <c r="T31" s="48"/>
      <c r="U31" s="51"/>
      <c r="V31" s="47"/>
      <c r="W31" s="52"/>
    </row>
    <row r="32" spans="1:23" s="43" customFormat="1" ht="15" x14ac:dyDescent="0.25">
      <c r="A32" s="118"/>
      <c r="B32" s="123"/>
      <c r="C32" s="116"/>
      <c r="D32" s="118"/>
      <c r="E32" s="118"/>
      <c r="F32" s="118"/>
      <c r="G32" s="118"/>
      <c r="H32" s="118"/>
      <c r="I32" s="118"/>
      <c r="J32" s="118"/>
      <c r="K32" s="118"/>
      <c r="L32" s="162">
        <f>SUM(L13:L31)</f>
        <v>12.8</v>
      </c>
      <c r="M32" s="118"/>
      <c r="N32" s="118"/>
      <c r="O32" s="118"/>
      <c r="P32" s="152"/>
      <c r="Q32" s="159"/>
      <c r="R32" s="161"/>
      <c r="S32" s="160"/>
      <c r="T32" s="159"/>
      <c r="U32" s="158"/>
      <c r="V32" s="157"/>
      <c r="W32" s="156"/>
    </row>
    <row r="33" spans="1:23" s="43" customFormat="1" ht="15" x14ac:dyDescent="0.25">
      <c r="A33" s="118"/>
      <c r="B33" s="123"/>
      <c r="C33" s="116"/>
      <c r="D33" s="118"/>
      <c r="E33" s="118"/>
      <c r="F33" s="118"/>
      <c r="G33" s="118"/>
      <c r="H33" s="118"/>
      <c r="I33" s="118"/>
      <c r="J33" s="118"/>
      <c r="K33" s="118"/>
      <c r="L33" s="118"/>
      <c r="M33" s="118"/>
      <c r="N33" s="118"/>
      <c r="O33" s="118"/>
      <c r="P33" s="152"/>
      <c r="Q33" s="159"/>
      <c r="R33" s="161"/>
      <c r="S33" s="160"/>
      <c r="T33" s="159"/>
      <c r="U33" s="158"/>
      <c r="V33" s="157"/>
      <c r="W33" s="156"/>
    </row>
    <row r="34" spans="1:23" s="43" customFormat="1" ht="15" x14ac:dyDescent="0.25">
      <c r="A34" s="118"/>
      <c r="B34" s="123"/>
      <c r="C34" s="116"/>
      <c r="D34" s="118"/>
      <c r="E34" s="118"/>
      <c r="F34" s="118"/>
      <c r="G34" s="118"/>
      <c r="H34" s="118"/>
      <c r="I34" s="118"/>
      <c r="J34" s="118"/>
      <c r="K34" s="118"/>
      <c r="L34" s="118"/>
      <c r="M34" s="118"/>
      <c r="N34" s="118"/>
      <c r="O34" s="118"/>
      <c r="P34" s="152"/>
      <c r="Q34" s="159"/>
      <c r="R34" s="161"/>
      <c r="S34" s="160"/>
      <c r="T34" s="159"/>
      <c r="U34" s="158"/>
      <c r="V34" s="157"/>
      <c r="W34" s="156"/>
    </row>
    <row r="35" spans="1:23" x14ac:dyDescent="0.25">
      <c r="A35" s="118"/>
      <c r="B35" s="123"/>
      <c r="C35" s="116"/>
      <c r="D35" s="118"/>
      <c r="E35" s="118"/>
      <c r="F35" s="118"/>
      <c r="G35" s="118"/>
      <c r="H35" s="118"/>
      <c r="I35" s="155"/>
      <c r="J35" s="154"/>
      <c r="K35" s="117"/>
      <c r="L35" s="117"/>
      <c r="M35" s="117"/>
      <c r="N35" s="153"/>
      <c r="O35" s="115"/>
      <c r="P35" s="152"/>
      <c r="Q35" s="115"/>
      <c r="R35" s="114"/>
      <c r="S35" s="118"/>
      <c r="T35" s="115"/>
      <c r="U35" s="151"/>
      <c r="V35" s="116"/>
      <c r="W35" s="150"/>
    </row>
    <row r="36" spans="1:23" x14ac:dyDescent="0.25">
      <c r="A36" s="118"/>
      <c r="B36" s="123"/>
      <c r="C36" s="116"/>
      <c r="D36" s="118"/>
      <c r="E36" s="118"/>
      <c r="F36" s="118"/>
      <c r="G36" s="118"/>
      <c r="H36" s="118"/>
      <c r="I36" s="155"/>
      <c r="J36" s="154"/>
      <c r="K36" s="117"/>
      <c r="L36" s="117"/>
      <c r="M36" s="117"/>
      <c r="N36" s="153"/>
      <c r="O36" s="115"/>
      <c r="P36" s="152"/>
      <c r="Q36" s="115"/>
      <c r="R36" s="114"/>
      <c r="S36" s="118"/>
      <c r="T36" s="115"/>
      <c r="U36" s="151"/>
      <c r="V36" s="116"/>
      <c r="W36" s="150"/>
    </row>
    <row r="37" spans="1:23" ht="15" x14ac:dyDescent="0.25">
      <c r="H37" s="197" t="s">
        <v>23</v>
      </c>
      <c r="I37" s="197"/>
      <c r="J37" s="36"/>
      <c r="K37" s="117"/>
      <c r="L37" s="117"/>
      <c r="M37" s="117"/>
      <c r="N37" s="116"/>
      <c r="O37" s="115"/>
      <c r="P37" s="116"/>
      <c r="Q37" s="115"/>
      <c r="R37" s="114"/>
    </row>
    <row r="38" spans="1:23" x14ac:dyDescent="0.25">
      <c r="H38" s="118"/>
      <c r="I38" s="149"/>
      <c r="J38" s="36"/>
      <c r="K38" s="117"/>
      <c r="L38" s="117"/>
      <c r="M38" s="117"/>
      <c r="N38" s="116"/>
      <c r="O38" s="115"/>
      <c r="P38" s="116"/>
      <c r="Q38" s="115"/>
      <c r="R38" s="114"/>
    </row>
    <row r="39" spans="1:23" x14ac:dyDescent="0.25">
      <c r="I39" s="148" t="s">
        <v>32</v>
      </c>
      <c r="K39" s="198" t="s">
        <v>79</v>
      </c>
      <c r="L39" s="198"/>
      <c r="M39" s="198"/>
      <c r="N39" s="198"/>
      <c r="O39" s="198"/>
      <c r="Q39" s="113"/>
      <c r="R39" s="113"/>
    </row>
    <row r="40" spans="1:23" x14ac:dyDescent="0.25">
      <c r="K40" s="196" t="s">
        <v>24</v>
      </c>
      <c r="L40" s="196"/>
      <c r="M40" s="196"/>
      <c r="N40" s="196"/>
      <c r="O40" s="196"/>
      <c r="Q40" s="196" t="s">
        <v>25</v>
      </c>
      <c r="R40" s="196"/>
    </row>
    <row r="41" spans="1:23" x14ac:dyDescent="0.25">
      <c r="I41" s="148" t="s">
        <v>94</v>
      </c>
      <c r="K41" s="198" t="s">
        <v>78</v>
      </c>
      <c r="L41" s="198"/>
      <c r="M41" s="198"/>
      <c r="N41" s="198"/>
      <c r="O41" s="198"/>
      <c r="Q41" s="113"/>
      <c r="R41" s="113"/>
    </row>
    <row r="42" spans="1:23" x14ac:dyDescent="0.25">
      <c r="K42" s="196" t="s">
        <v>24</v>
      </c>
      <c r="L42" s="196"/>
      <c r="M42" s="196"/>
      <c r="N42" s="196"/>
      <c r="O42" s="196"/>
      <c r="Q42" s="196" t="s">
        <v>25</v>
      </c>
      <c r="R42" s="196"/>
    </row>
  </sheetData>
  <autoFilter ref="A11:U11" xr:uid="{00000000-0009-0000-0000-000000000000}"/>
  <mergeCells count="29">
    <mergeCell ref="A9:A10"/>
    <mergeCell ref="B9:B10"/>
    <mergeCell ref="C9:C10"/>
    <mergeCell ref="D9:D10"/>
    <mergeCell ref="H9:H10"/>
    <mergeCell ref="E9:E10"/>
    <mergeCell ref="F9:F10"/>
    <mergeCell ref="H37:I37"/>
    <mergeCell ref="K39:O39"/>
    <mergeCell ref="K41:O41"/>
    <mergeCell ref="K42:O42"/>
    <mergeCell ref="Q42:R42"/>
    <mergeCell ref="H7:Q7"/>
    <mergeCell ref="G9:G10"/>
    <mergeCell ref="I9:K9"/>
    <mergeCell ref="N9:N10"/>
    <mergeCell ref="O9:O10"/>
    <mergeCell ref="R1:T1"/>
    <mergeCell ref="R2:T2"/>
    <mergeCell ref="R4:T4"/>
    <mergeCell ref="R5:T5"/>
    <mergeCell ref="R3:U3"/>
    <mergeCell ref="Q40:R40"/>
    <mergeCell ref="L9:L10"/>
    <mergeCell ref="M9:M10"/>
    <mergeCell ref="K40:O40"/>
    <mergeCell ref="W9:W10"/>
    <mergeCell ref="T9:V9"/>
    <mergeCell ref="P9:S9"/>
  </mergeCells>
  <pageMargins left="0.31496062992125984" right="0.31496062992125984" top="0.35433070866141736" bottom="0.35433070866141736" header="0.31496062992125984" footer="0.31496062992125984"/>
  <pageSetup paperSize="8" scale="58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456E9-BF54-425D-BDB6-200419F0B6BF}">
  <sheetPr codeName="Лист4">
    <pageSetUpPr fitToPage="1"/>
  </sheetPr>
  <dimension ref="A1:IY42"/>
  <sheetViews>
    <sheetView zoomScale="85" zoomScaleNormal="85" workbookViewId="0">
      <selection activeCell="L9" sqref="L9:L10"/>
    </sheetView>
  </sheetViews>
  <sheetFormatPr defaultRowHeight="15.75" outlineLevelCol="1" x14ac:dyDescent="0.25"/>
  <cols>
    <col min="1" max="1" width="7.140625" style="3" bestFit="1" customWidth="1"/>
    <col min="2" max="2" width="13.7109375" style="1" customWidth="1"/>
    <col min="3" max="3" width="21.5703125" style="64" customWidth="1"/>
    <col min="4" max="4" width="13.7109375" style="1" customWidth="1"/>
    <col min="5" max="7" width="15.5703125" style="1" customWidth="1"/>
    <col min="8" max="8" width="9.28515625" style="1" customWidth="1"/>
    <col min="9" max="9" width="45.5703125" style="147" customWidth="1" outlineLevel="1"/>
    <col min="10" max="10" width="13" style="1" customWidth="1" outlineLevel="1"/>
    <col min="11" max="13" width="10" style="1" customWidth="1" outlineLevel="1"/>
    <col min="14" max="14" width="35" style="37" customWidth="1"/>
    <col min="15" max="15" width="15.28515625" style="37" customWidth="1"/>
    <col min="16" max="16" width="18.85546875" style="1" customWidth="1"/>
    <col min="17" max="17" width="15.140625" style="3" customWidth="1"/>
    <col min="18" max="18" width="9.140625" style="3" customWidth="1"/>
    <col min="19" max="19" width="14.28515625" style="3" customWidth="1"/>
    <col min="20" max="20" width="14.42578125" style="3" customWidth="1"/>
    <col min="21" max="21" width="15.85546875" style="1" customWidth="1"/>
    <col min="22" max="22" width="15.28515625" style="1" customWidth="1"/>
    <col min="23" max="23" width="16.140625" style="37" customWidth="1"/>
  </cols>
  <sheetData>
    <row r="1" spans="1:259" x14ac:dyDescent="0.25">
      <c r="C1" s="63"/>
      <c r="D1" s="36"/>
      <c r="E1" s="36"/>
      <c r="F1" s="36"/>
      <c r="G1" s="36"/>
      <c r="H1" s="36"/>
      <c r="I1" s="172"/>
      <c r="J1" s="10"/>
      <c r="K1" s="10"/>
      <c r="L1" s="10"/>
      <c r="M1" s="10"/>
      <c r="P1" s="109"/>
      <c r="Q1" s="8"/>
      <c r="R1" s="191" t="s">
        <v>26</v>
      </c>
      <c r="S1" s="191"/>
      <c r="T1" s="191"/>
    </row>
    <row r="2" spans="1:259" x14ac:dyDescent="0.25">
      <c r="D2" s="36"/>
      <c r="E2" s="36"/>
      <c r="F2" s="36"/>
      <c r="G2" s="36"/>
      <c r="H2" s="36"/>
      <c r="I2" s="172"/>
      <c r="J2" s="10"/>
      <c r="K2" s="10"/>
      <c r="L2" s="10"/>
      <c r="M2" s="10"/>
      <c r="P2" s="109"/>
      <c r="Q2" s="1"/>
      <c r="R2" s="192"/>
      <c r="S2" s="192"/>
      <c r="T2" s="192"/>
      <c r="U2" s="36"/>
      <c r="V2" s="36"/>
    </row>
    <row r="3" spans="1:259" ht="29.25" x14ac:dyDescent="0.25">
      <c r="B3" s="8" t="s">
        <v>21</v>
      </c>
      <c r="C3" s="65" t="s">
        <v>31</v>
      </c>
      <c r="D3" s="45"/>
      <c r="E3" s="45"/>
      <c r="F3" s="45"/>
      <c r="G3" s="45"/>
      <c r="H3" s="36"/>
      <c r="I3" s="172"/>
      <c r="J3" s="10"/>
      <c r="K3" s="10"/>
      <c r="L3" s="10"/>
      <c r="M3" s="10"/>
      <c r="P3" s="109"/>
      <c r="Q3" s="13"/>
      <c r="R3" s="192"/>
      <c r="S3" s="192"/>
      <c r="T3" s="192"/>
      <c r="U3" s="192"/>
      <c r="V3" s="36"/>
    </row>
    <row r="4" spans="1:259" ht="15" customHeight="1" x14ac:dyDescent="0.25">
      <c r="A4" s="62"/>
      <c r="B4" s="8" t="s">
        <v>22</v>
      </c>
      <c r="C4" s="66" t="s">
        <v>82</v>
      </c>
      <c r="D4" s="46"/>
      <c r="E4" s="46"/>
      <c r="F4" s="108"/>
      <c r="G4" s="108"/>
      <c r="H4" s="108"/>
      <c r="I4" s="171"/>
      <c r="J4" s="14"/>
      <c r="K4" s="14"/>
      <c r="L4" s="14"/>
      <c r="M4" s="14"/>
      <c r="P4" s="15"/>
      <c r="Q4" s="8"/>
      <c r="R4" s="193" t="s">
        <v>28</v>
      </c>
      <c r="S4" s="193"/>
      <c r="T4" s="193"/>
      <c r="U4" s="8"/>
      <c r="V4" s="8"/>
    </row>
    <row r="5" spans="1:259" x14ac:dyDescent="0.25">
      <c r="A5" s="145"/>
      <c r="B5" s="145"/>
      <c r="C5" s="146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99" t="s">
        <v>27</v>
      </c>
      <c r="S5" s="199"/>
      <c r="T5" s="199"/>
      <c r="U5" s="145"/>
      <c r="V5" s="145"/>
      <c r="W5" s="141"/>
    </row>
    <row r="6" spans="1:259" ht="15" customHeight="1" x14ac:dyDescent="0.25">
      <c r="B6" s="3"/>
      <c r="D6" s="3"/>
      <c r="E6" s="3"/>
      <c r="F6" s="3"/>
      <c r="G6" s="3"/>
      <c r="H6" s="62"/>
      <c r="I6" s="145"/>
      <c r="J6" s="62"/>
      <c r="K6" s="62"/>
      <c r="L6" s="62"/>
      <c r="M6" s="62"/>
      <c r="N6" s="62"/>
      <c r="O6" s="62"/>
      <c r="P6" s="62"/>
      <c r="Q6" s="62"/>
      <c r="U6" s="3"/>
      <c r="V6" s="3"/>
      <c r="W6" s="141"/>
    </row>
    <row r="7" spans="1:259" ht="15" x14ac:dyDescent="0.25">
      <c r="B7" s="17"/>
      <c r="C7" s="68"/>
      <c r="D7" s="17"/>
      <c r="E7" s="3"/>
      <c r="F7" s="3"/>
      <c r="G7" s="3"/>
      <c r="H7" s="200" t="s">
        <v>153</v>
      </c>
      <c r="I7" s="200"/>
      <c r="J7" s="200"/>
      <c r="K7" s="200"/>
      <c r="L7" s="200"/>
      <c r="M7" s="200"/>
      <c r="N7" s="200"/>
      <c r="O7" s="200"/>
      <c r="P7" s="200"/>
      <c r="Q7" s="200"/>
      <c r="U7" s="3"/>
      <c r="V7" s="3"/>
      <c r="W7" s="141"/>
    </row>
    <row r="8" spans="1:259" ht="15" customHeight="1" x14ac:dyDescent="0.25">
      <c r="B8" s="17"/>
      <c r="C8" s="68"/>
      <c r="D8" s="17"/>
      <c r="E8" s="63"/>
      <c r="F8" s="63"/>
      <c r="G8" s="63"/>
      <c r="H8" s="63"/>
      <c r="I8" s="146"/>
      <c r="J8" s="63"/>
      <c r="K8" s="63"/>
      <c r="L8" s="63"/>
      <c r="M8" s="63"/>
      <c r="N8" s="141"/>
      <c r="O8" s="141"/>
      <c r="P8" s="143"/>
      <c r="Q8" s="142"/>
      <c r="R8" s="142"/>
      <c r="S8" s="142"/>
      <c r="U8" s="3"/>
      <c r="V8" s="3"/>
      <c r="W8" s="141"/>
    </row>
    <row r="9" spans="1:259" s="2" customFormat="1" ht="37.5" customHeight="1" x14ac:dyDescent="0.25">
      <c r="A9" s="174" t="s">
        <v>72</v>
      </c>
      <c r="B9" s="174" t="s">
        <v>6</v>
      </c>
      <c r="C9" s="176" t="s">
        <v>9</v>
      </c>
      <c r="D9" s="174" t="s">
        <v>0</v>
      </c>
      <c r="E9" s="174" t="s">
        <v>10</v>
      </c>
      <c r="F9" s="174" t="s">
        <v>19</v>
      </c>
      <c r="G9" s="174" t="s">
        <v>20</v>
      </c>
      <c r="H9" s="174" t="s">
        <v>7</v>
      </c>
      <c r="I9" s="179" t="s">
        <v>16</v>
      </c>
      <c r="J9" s="180"/>
      <c r="K9" s="181"/>
      <c r="L9" s="189" t="s">
        <v>154</v>
      </c>
      <c r="M9" s="184" t="s">
        <v>87</v>
      </c>
      <c r="N9" s="184" t="s">
        <v>11</v>
      </c>
      <c r="O9" s="174" t="s">
        <v>1</v>
      </c>
      <c r="P9" s="179" t="s">
        <v>2</v>
      </c>
      <c r="Q9" s="185"/>
      <c r="R9" s="185"/>
      <c r="S9" s="186"/>
      <c r="T9" s="188" t="s">
        <v>14</v>
      </c>
      <c r="U9" s="188"/>
      <c r="V9" s="188"/>
      <c r="W9" s="184" t="s">
        <v>3</v>
      </c>
    </row>
    <row r="10" spans="1:259" s="2" customFormat="1" ht="47.25" x14ac:dyDescent="0.25">
      <c r="A10" s="175"/>
      <c r="B10" s="175"/>
      <c r="C10" s="177"/>
      <c r="D10" s="175"/>
      <c r="E10" s="178"/>
      <c r="F10" s="175"/>
      <c r="G10" s="175"/>
      <c r="H10" s="175"/>
      <c r="I10" s="170" t="s">
        <v>15</v>
      </c>
      <c r="J10" s="104" t="s">
        <v>17</v>
      </c>
      <c r="K10" s="104" t="s">
        <v>5</v>
      </c>
      <c r="L10" s="190"/>
      <c r="M10" s="184"/>
      <c r="N10" s="184"/>
      <c r="O10" s="175"/>
      <c r="P10" s="106" t="s">
        <v>8</v>
      </c>
      <c r="Q10" s="106" t="s">
        <v>4</v>
      </c>
      <c r="R10" s="106" t="s">
        <v>5</v>
      </c>
      <c r="S10" s="106" t="s">
        <v>3</v>
      </c>
      <c r="T10" s="107" t="s">
        <v>12</v>
      </c>
      <c r="U10" s="107" t="s">
        <v>18</v>
      </c>
      <c r="V10" s="107" t="s">
        <v>13</v>
      </c>
      <c r="W10" s="184"/>
    </row>
    <row r="11" spans="1:259" s="2" customFormat="1" x14ac:dyDescent="0.25">
      <c r="A11" s="104">
        <v>1</v>
      </c>
      <c r="B11" s="104">
        <f t="shared" ref="B11:W11" si="0">A11+1</f>
        <v>2</v>
      </c>
      <c r="C11" s="105">
        <f t="shared" si="0"/>
        <v>3</v>
      </c>
      <c r="D11" s="104">
        <f t="shared" si="0"/>
        <v>4</v>
      </c>
      <c r="E11" s="104">
        <f t="shared" si="0"/>
        <v>5</v>
      </c>
      <c r="F11" s="104">
        <f t="shared" si="0"/>
        <v>6</v>
      </c>
      <c r="G11" s="104">
        <f t="shared" si="0"/>
        <v>7</v>
      </c>
      <c r="H11" s="104">
        <f t="shared" si="0"/>
        <v>8</v>
      </c>
      <c r="I11" s="170">
        <f t="shared" si="0"/>
        <v>9</v>
      </c>
      <c r="J11" s="104">
        <f t="shared" si="0"/>
        <v>10</v>
      </c>
      <c r="K11" s="104">
        <f t="shared" si="0"/>
        <v>11</v>
      </c>
      <c r="L11" s="104">
        <f t="shared" si="0"/>
        <v>12</v>
      </c>
      <c r="M11" s="104">
        <f t="shared" si="0"/>
        <v>13</v>
      </c>
      <c r="N11" s="104">
        <f t="shared" si="0"/>
        <v>14</v>
      </c>
      <c r="O11" s="104">
        <f t="shared" si="0"/>
        <v>15</v>
      </c>
      <c r="P11" s="104">
        <f t="shared" si="0"/>
        <v>16</v>
      </c>
      <c r="Q11" s="104">
        <f t="shared" si="0"/>
        <v>17</v>
      </c>
      <c r="R11" s="104">
        <f t="shared" si="0"/>
        <v>18</v>
      </c>
      <c r="S11" s="104">
        <f t="shared" si="0"/>
        <v>19</v>
      </c>
      <c r="T11" s="104">
        <f t="shared" si="0"/>
        <v>20</v>
      </c>
      <c r="U11" s="104">
        <f t="shared" si="0"/>
        <v>21</v>
      </c>
      <c r="V11" s="104">
        <f t="shared" si="0"/>
        <v>22</v>
      </c>
      <c r="W11" s="104">
        <f t="shared" si="0"/>
        <v>23</v>
      </c>
    </row>
    <row r="12" spans="1:259" s="42" customFormat="1" ht="90.75" thickBot="1" x14ac:dyDescent="0.3">
      <c r="A12" s="110">
        <v>1</v>
      </c>
      <c r="B12" s="129" t="s">
        <v>150</v>
      </c>
      <c r="C12" s="129" t="s">
        <v>116</v>
      </c>
      <c r="D12" s="110" t="s">
        <v>34</v>
      </c>
      <c r="E12" s="110" t="s">
        <v>143</v>
      </c>
      <c r="F12" s="110" t="s">
        <v>102</v>
      </c>
      <c r="G12" s="110" t="s">
        <v>149</v>
      </c>
      <c r="H12" s="110" t="s">
        <v>100</v>
      </c>
      <c r="I12" s="110" t="s">
        <v>152</v>
      </c>
      <c r="J12" s="110" t="s">
        <v>30</v>
      </c>
      <c r="K12" s="110">
        <v>1</v>
      </c>
      <c r="L12" s="110"/>
      <c r="M12" s="110"/>
      <c r="N12" s="110" t="s">
        <v>138</v>
      </c>
      <c r="O12" s="110"/>
      <c r="P12" s="47"/>
      <c r="Q12" s="48" t="s">
        <v>29</v>
      </c>
      <c r="R12" s="49"/>
      <c r="S12" s="50"/>
      <c r="T12" s="48"/>
      <c r="U12" s="51">
        <v>0</v>
      </c>
      <c r="V12" s="47"/>
      <c r="W12" s="52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43"/>
      <c r="BK12" s="43"/>
      <c r="BL12" s="43"/>
      <c r="BM12" s="43"/>
      <c r="BN12" s="43"/>
      <c r="BO12" s="43"/>
      <c r="BP12" s="43"/>
      <c r="BQ12" s="43"/>
      <c r="BR12" s="43"/>
      <c r="BS12" s="43"/>
      <c r="BT12" s="43"/>
      <c r="BU12" s="43"/>
      <c r="BV12" s="43"/>
      <c r="BW12" s="43"/>
      <c r="BX12" s="43"/>
      <c r="BY12" s="43"/>
      <c r="BZ12" s="43"/>
      <c r="CA12" s="43"/>
      <c r="CB12" s="43"/>
      <c r="CC12" s="43"/>
      <c r="CD12" s="43"/>
      <c r="CE12" s="43"/>
      <c r="CF12" s="43"/>
      <c r="CG12" s="43"/>
      <c r="CH12" s="43"/>
      <c r="CI12" s="43"/>
      <c r="CJ12" s="43"/>
      <c r="CK12" s="43"/>
      <c r="CL12" s="43"/>
      <c r="CM12" s="43"/>
      <c r="CN12" s="43"/>
      <c r="CO12" s="43"/>
      <c r="CP12" s="43"/>
      <c r="CQ12" s="43"/>
      <c r="CR12" s="43"/>
      <c r="CS12" s="43"/>
      <c r="CT12" s="43"/>
      <c r="CU12" s="43"/>
      <c r="CV12" s="43"/>
      <c r="CW12" s="43"/>
      <c r="CX12" s="43"/>
      <c r="CY12" s="43"/>
      <c r="CZ12" s="43"/>
      <c r="DA12" s="43"/>
      <c r="DB12" s="43"/>
      <c r="DC12" s="43"/>
      <c r="DD12" s="43"/>
      <c r="DE12" s="43"/>
      <c r="DF12" s="43"/>
      <c r="DG12" s="43"/>
      <c r="DH12" s="43"/>
      <c r="DI12" s="43"/>
      <c r="DJ12" s="43"/>
      <c r="DK12" s="43"/>
      <c r="DL12" s="43"/>
      <c r="DM12" s="43"/>
      <c r="DN12" s="43"/>
      <c r="DO12" s="43"/>
      <c r="DP12" s="43"/>
      <c r="DQ12" s="43"/>
      <c r="DR12" s="43"/>
      <c r="DS12" s="43"/>
      <c r="DT12" s="43"/>
      <c r="DU12" s="43"/>
      <c r="DV12" s="43"/>
      <c r="DW12" s="43"/>
      <c r="DX12" s="43"/>
      <c r="DY12" s="43"/>
      <c r="DZ12" s="43"/>
      <c r="EA12" s="43"/>
      <c r="EB12" s="43"/>
      <c r="EC12" s="43"/>
      <c r="ED12" s="43"/>
      <c r="EE12" s="43"/>
      <c r="EF12" s="43"/>
      <c r="EG12" s="43"/>
      <c r="EH12" s="43"/>
      <c r="EI12" s="43"/>
      <c r="EJ12" s="43"/>
      <c r="EK12" s="43"/>
      <c r="EL12" s="43"/>
      <c r="EM12" s="43"/>
      <c r="EN12" s="43"/>
      <c r="EO12" s="43"/>
      <c r="EP12" s="43"/>
      <c r="EQ12" s="43"/>
      <c r="ER12" s="43"/>
      <c r="ES12" s="43"/>
      <c r="ET12" s="43"/>
      <c r="EU12" s="43"/>
      <c r="EV12" s="43"/>
      <c r="EW12" s="43"/>
      <c r="EX12" s="43"/>
      <c r="EY12" s="43"/>
      <c r="EZ12" s="43"/>
      <c r="FA12" s="43"/>
      <c r="FB12" s="43"/>
      <c r="FC12" s="43"/>
      <c r="FD12" s="43"/>
      <c r="FE12" s="43"/>
      <c r="FF12" s="43"/>
      <c r="FG12" s="43"/>
      <c r="FH12" s="43"/>
      <c r="FI12" s="43"/>
      <c r="FJ12" s="43"/>
      <c r="FK12" s="43"/>
      <c r="FL12" s="43"/>
      <c r="FM12" s="43"/>
      <c r="FN12" s="43"/>
      <c r="FO12" s="43"/>
      <c r="FP12" s="43"/>
      <c r="FQ12" s="43"/>
      <c r="FR12" s="43"/>
      <c r="FS12" s="43"/>
      <c r="FT12" s="43"/>
      <c r="FU12" s="43"/>
      <c r="FV12" s="43"/>
      <c r="FW12" s="43"/>
      <c r="FX12" s="43"/>
      <c r="FY12" s="43"/>
      <c r="FZ12" s="43"/>
      <c r="GA12" s="43"/>
      <c r="GB12" s="43"/>
      <c r="GC12" s="43"/>
      <c r="GD12" s="43"/>
      <c r="GE12" s="43"/>
      <c r="GF12" s="43"/>
      <c r="GG12" s="43"/>
      <c r="GH12" s="43"/>
      <c r="GI12" s="43"/>
      <c r="GJ12" s="43"/>
      <c r="GK12" s="43"/>
      <c r="GL12" s="43"/>
      <c r="GM12" s="43"/>
      <c r="GN12" s="43"/>
      <c r="GO12" s="43"/>
      <c r="GP12" s="43"/>
      <c r="GQ12" s="43"/>
      <c r="GR12" s="43"/>
      <c r="GS12" s="43"/>
      <c r="GT12" s="43"/>
      <c r="GU12" s="43"/>
      <c r="GV12" s="43"/>
      <c r="GW12" s="43"/>
      <c r="GX12" s="43"/>
      <c r="GY12" s="43"/>
      <c r="GZ12" s="43"/>
      <c r="HA12" s="43"/>
      <c r="HB12" s="43"/>
      <c r="HC12" s="43"/>
      <c r="HD12" s="43"/>
      <c r="HE12" s="43"/>
      <c r="HF12" s="43"/>
      <c r="HG12" s="43"/>
      <c r="HH12" s="43"/>
      <c r="HI12" s="43"/>
      <c r="HJ12" s="43"/>
      <c r="HK12" s="43"/>
      <c r="HL12" s="43"/>
      <c r="HM12" s="43"/>
      <c r="HN12" s="43"/>
      <c r="HO12" s="43"/>
      <c r="HP12" s="43"/>
      <c r="HQ12" s="43"/>
      <c r="HR12" s="43"/>
      <c r="HS12" s="43"/>
      <c r="HT12" s="43"/>
      <c r="HU12" s="43"/>
      <c r="HV12" s="43"/>
      <c r="HW12" s="43"/>
      <c r="HX12" s="43"/>
      <c r="HY12" s="43"/>
      <c r="HZ12" s="43"/>
      <c r="IA12" s="43"/>
      <c r="IB12" s="43"/>
      <c r="IC12" s="43"/>
      <c r="ID12" s="43"/>
      <c r="IE12" s="43"/>
      <c r="IF12" s="43"/>
      <c r="IG12" s="43"/>
      <c r="IH12" s="43"/>
      <c r="II12" s="43"/>
      <c r="IJ12" s="43"/>
      <c r="IK12" s="43"/>
      <c r="IL12" s="43"/>
      <c r="IM12" s="43"/>
      <c r="IN12" s="43"/>
      <c r="IO12" s="43"/>
      <c r="IP12" s="43"/>
      <c r="IQ12" s="43"/>
      <c r="IR12" s="43"/>
      <c r="IS12" s="43"/>
      <c r="IT12" s="43"/>
      <c r="IU12" s="43"/>
      <c r="IV12" s="43"/>
      <c r="IW12" s="43"/>
      <c r="IX12" s="43"/>
      <c r="IY12" s="43"/>
    </row>
    <row r="13" spans="1:259" s="43" customFormat="1" ht="30" x14ac:dyDescent="0.25">
      <c r="A13" s="110">
        <v>2</v>
      </c>
      <c r="B13" s="129" t="s">
        <v>150</v>
      </c>
      <c r="C13" s="129" t="s">
        <v>116</v>
      </c>
      <c r="D13" s="110" t="s">
        <v>34</v>
      </c>
      <c r="E13" s="110" t="s">
        <v>143</v>
      </c>
      <c r="F13" s="110" t="s">
        <v>102</v>
      </c>
      <c r="G13" s="110" t="s">
        <v>149</v>
      </c>
      <c r="H13" s="110" t="s">
        <v>100</v>
      </c>
      <c r="I13" s="110" t="s">
        <v>137</v>
      </c>
      <c r="J13" s="110" t="s">
        <v>30</v>
      </c>
      <c r="K13" s="110">
        <v>1</v>
      </c>
      <c r="L13" s="111">
        <v>0.7</v>
      </c>
      <c r="M13" s="110" t="s">
        <v>59</v>
      </c>
      <c r="N13" s="110" t="s">
        <v>128</v>
      </c>
      <c r="O13" s="110" t="s">
        <v>83</v>
      </c>
      <c r="P13" s="136"/>
      <c r="Q13" s="136"/>
      <c r="R13" s="136"/>
      <c r="S13" s="50"/>
      <c r="T13" s="48"/>
      <c r="U13" s="51">
        <v>0</v>
      </c>
      <c r="V13" s="47"/>
      <c r="W13" s="52"/>
    </row>
    <row r="14" spans="1:259" s="43" customFormat="1" ht="30" x14ac:dyDescent="0.25">
      <c r="A14" s="110">
        <v>3</v>
      </c>
      <c r="B14" s="129" t="s">
        <v>150</v>
      </c>
      <c r="C14" s="129" t="s">
        <v>116</v>
      </c>
      <c r="D14" s="110" t="s">
        <v>34</v>
      </c>
      <c r="E14" s="110" t="s">
        <v>143</v>
      </c>
      <c r="F14" s="110" t="s">
        <v>102</v>
      </c>
      <c r="G14" s="110" t="s">
        <v>149</v>
      </c>
      <c r="H14" s="110" t="s">
        <v>100</v>
      </c>
      <c r="I14" s="110" t="s">
        <v>136</v>
      </c>
      <c r="J14" s="110" t="s">
        <v>30</v>
      </c>
      <c r="K14" s="110" t="s">
        <v>59</v>
      </c>
      <c r="L14" s="111">
        <v>0.6</v>
      </c>
      <c r="M14" s="110" t="s">
        <v>59</v>
      </c>
      <c r="N14" s="110" t="s">
        <v>128</v>
      </c>
      <c r="O14" s="110" t="s">
        <v>83</v>
      </c>
      <c r="P14" s="136"/>
      <c r="Q14" s="136"/>
      <c r="R14" s="136"/>
      <c r="S14" s="50"/>
      <c r="T14" s="48"/>
      <c r="U14" s="51">
        <v>0</v>
      </c>
      <c r="V14" s="47"/>
      <c r="W14" s="52"/>
    </row>
    <row r="15" spans="1:259" s="43" customFormat="1" ht="30" x14ac:dyDescent="0.25">
      <c r="A15" s="110">
        <v>4</v>
      </c>
      <c r="B15" s="129" t="s">
        <v>150</v>
      </c>
      <c r="C15" s="129" t="s">
        <v>116</v>
      </c>
      <c r="D15" s="110" t="s">
        <v>34</v>
      </c>
      <c r="E15" s="110" t="s">
        <v>143</v>
      </c>
      <c r="F15" s="110" t="s">
        <v>102</v>
      </c>
      <c r="G15" s="110" t="s">
        <v>149</v>
      </c>
      <c r="H15" s="110" t="s">
        <v>100</v>
      </c>
      <c r="I15" s="110" t="s">
        <v>135</v>
      </c>
      <c r="J15" s="110" t="s">
        <v>30</v>
      </c>
      <c r="K15" s="110" t="s">
        <v>134</v>
      </c>
      <c r="L15" s="111">
        <v>0.6</v>
      </c>
      <c r="M15" s="110" t="s">
        <v>59</v>
      </c>
      <c r="N15" s="110" t="s">
        <v>97</v>
      </c>
      <c r="O15" s="110" t="s">
        <v>83</v>
      </c>
      <c r="P15" s="169"/>
      <c r="Q15" s="133"/>
      <c r="R15" s="133"/>
      <c r="S15" s="50"/>
      <c r="T15" s="48"/>
      <c r="U15" s="51">
        <v>0</v>
      </c>
      <c r="V15" s="47"/>
      <c r="W15" s="52"/>
    </row>
    <row r="16" spans="1:259" s="43" customFormat="1" ht="30" x14ac:dyDescent="0.25">
      <c r="A16" s="110">
        <v>5</v>
      </c>
      <c r="B16" s="129" t="s">
        <v>150</v>
      </c>
      <c r="C16" s="129" t="s">
        <v>116</v>
      </c>
      <c r="D16" s="110" t="s">
        <v>34</v>
      </c>
      <c r="E16" s="110" t="s">
        <v>143</v>
      </c>
      <c r="F16" s="110" t="s">
        <v>102</v>
      </c>
      <c r="G16" s="110" t="s">
        <v>149</v>
      </c>
      <c r="H16" s="110" t="s">
        <v>100</v>
      </c>
      <c r="I16" s="110" t="s">
        <v>133</v>
      </c>
      <c r="J16" s="110" t="s">
        <v>30</v>
      </c>
      <c r="K16" s="110">
        <v>1</v>
      </c>
      <c r="L16" s="111">
        <v>0.7</v>
      </c>
      <c r="M16" s="110" t="s">
        <v>59</v>
      </c>
      <c r="N16" s="110" t="s">
        <v>128</v>
      </c>
      <c r="O16" s="110" t="s">
        <v>83</v>
      </c>
      <c r="P16" s="168"/>
      <c r="Q16" s="133"/>
      <c r="R16" s="133"/>
      <c r="S16" s="50"/>
      <c r="T16" s="48"/>
      <c r="U16" s="51">
        <v>0</v>
      </c>
      <c r="V16" s="47"/>
      <c r="W16" s="52"/>
    </row>
    <row r="17" spans="1:23" s="43" customFormat="1" ht="30" x14ac:dyDescent="0.25">
      <c r="A17" s="110">
        <v>6</v>
      </c>
      <c r="B17" s="129" t="s">
        <v>150</v>
      </c>
      <c r="C17" s="129" t="s">
        <v>116</v>
      </c>
      <c r="D17" s="110" t="s">
        <v>34</v>
      </c>
      <c r="E17" s="110" t="s">
        <v>143</v>
      </c>
      <c r="F17" s="110" t="s">
        <v>102</v>
      </c>
      <c r="G17" s="110" t="s">
        <v>149</v>
      </c>
      <c r="H17" s="110" t="s">
        <v>100</v>
      </c>
      <c r="I17" s="110" t="s">
        <v>132</v>
      </c>
      <c r="J17" s="110" t="s">
        <v>30</v>
      </c>
      <c r="K17" s="110">
        <v>1</v>
      </c>
      <c r="L17" s="111">
        <v>0.5</v>
      </c>
      <c r="M17" s="110" t="s">
        <v>59</v>
      </c>
      <c r="N17" s="110" t="s">
        <v>128</v>
      </c>
      <c r="O17" s="110" t="s">
        <v>83</v>
      </c>
      <c r="P17" s="136"/>
      <c r="Q17" s="136"/>
      <c r="R17" s="136"/>
      <c r="S17" s="50"/>
      <c r="T17" s="48"/>
      <c r="U17" s="51">
        <v>0</v>
      </c>
      <c r="V17" s="47"/>
      <c r="W17" s="52"/>
    </row>
    <row r="18" spans="1:23" s="43" customFormat="1" ht="30" x14ac:dyDescent="0.25">
      <c r="A18" s="110">
        <v>7</v>
      </c>
      <c r="B18" s="129" t="s">
        <v>150</v>
      </c>
      <c r="C18" s="129" t="s">
        <v>116</v>
      </c>
      <c r="D18" s="110" t="s">
        <v>34</v>
      </c>
      <c r="E18" s="110" t="s">
        <v>143</v>
      </c>
      <c r="F18" s="110" t="s">
        <v>102</v>
      </c>
      <c r="G18" s="110" t="s">
        <v>149</v>
      </c>
      <c r="H18" s="110" t="s">
        <v>100</v>
      </c>
      <c r="I18" s="110" t="s">
        <v>131</v>
      </c>
      <c r="J18" s="110" t="s">
        <v>30</v>
      </c>
      <c r="K18" s="110">
        <v>1</v>
      </c>
      <c r="L18" s="111">
        <v>0.4</v>
      </c>
      <c r="M18" s="110" t="s">
        <v>59</v>
      </c>
      <c r="N18" s="110" t="s">
        <v>97</v>
      </c>
      <c r="O18" s="110" t="s">
        <v>83</v>
      </c>
      <c r="P18" s="136"/>
      <c r="Q18" s="136"/>
      <c r="R18" s="136"/>
      <c r="S18" s="50"/>
      <c r="T18" s="48"/>
      <c r="U18" s="51">
        <v>0</v>
      </c>
      <c r="V18" s="47"/>
      <c r="W18" s="52"/>
    </row>
    <row r="19" spans="1:23" s="43" customFormat="1" ht="30" x14ac:dyDescent="0.25">
      <c r="A19" s="110">
        <v>8</v>
      </c>
      <c r="B19" s="130" t="s">
        <v>151</v>
      </c>
      <c r="C19" s="129" t="s">
        <v>116</v>
      </c>
      <c r="D19" s="110" t="s">
        <v>34</v>
      </c>
      <c r="E19" s="110" t="s">
        <v>143</v>
      </c>
      <c r="F19" s="110" t="s">
        <v>102</v>
      </c>
      <c r="G19" s="110" t="s">
        <v>149</v>
      </c>
      <c r="H19" s="110" t="s">
        <v>100</v>
      </c>
      <c r="I19" s="110" t="s">
        <v>130</v>
      </c>
      <c r="J19" s="110" t="s">
        <v>30</v>
      </c>
      <c r="K19" s="110">
        <v>1</v>
      </c>
      <c r="L19" s="111">
        <v>0.2</v>
      </c>
      <c r="M19" s="110" t="s">
        <v>59</v>
      </c>
      <c r="N19" s="110" t="s">
        <v>128</v>
      </c>
      <c r="O19" s="110" t="s">
        <v>83</v>
      </c>
      <c r="P19" s="136"/>
      <c r="Q19" s="133"/>
      <c r="R19" s="133"/>
      <c r="S19" s="50"/>
      <c r="T19" s="48"/>
      <c r="U19" s="51">
        <v>0</v>
      </c>
      <c r="V19" s="47"/>
      <c r="W19" s="52"/>
    </row>
    <row r="20" spans="1:23" s="43" customFormat="1" ht="30" x14ac:dyDescent="0.25">
      <c r="A20" s="110">
        <v>9</v>
      </c>
      <c r="B20" s="130" t="s">
        <v>151</v>
      </c>
      <c r="C20" s="129" t="s">
        <v>116</v>
      </c>
      <c r="D20" s="110" t="s">
        <v>34</v>
      </c>
      <c r="E20" s="110" t="s">
        <v>143</v>
      </c>
      <c r="F20" s="110" t="s">
        <v>102</v>
      </c>
      <c r="G20" s="110" t="s">
        <v>149</v>
      </c>
      <c r="H20" s="110" t="s">
        <v>100</v>
      </c>
      <c r="I20" s="110" t="s">
        <v>129</v>
      </c>
      <c r="J20" s="110" t="s">
        <v>30</v>
      </c>
      <c r="K20" s="110">
        <v>1</v>
      </c>
      <c r="L20" s="111">
        <v>0.2</v>
      </c>
      <c r="M20" s="110" t="s">
        <v>59</v>
      </c>
      <c r="N20" s="110" t="s">
        <v>128</v>
      </c>
      <c r="O20" s="110" t="s">
        <v>83</v>
      </c>
      <c r="P20" s="132"/>
      <c r="Q20" s="133"/>
      <c r="R20" s="133"/>
      <c r="S20" s="50"/>
      <c r="T20" s="48"/>
      <c r="U20" s="51">
        <v>0</v>
      </c>
      <c r="V20" s="47"/>
      <c r="W20" s="52"/>
    </row>
    <row r="21" spans="1:23" s="43" customFormat="1" ht="30" x14ac:dyDescent="0.25">
      <c r="A21" s="110">
        <v>10</v>
      </c>
      <c r="B21" s="129" t="s">
        <v>150</v>
      </c>
      <c r="C21" s="129" t="s">
        <v>116</v>
      </c>
      <c r="D21" s="110" t="s">
        <v>34</v>
      </c>
      <c r="E21" s="110" t="s">
        <v>143</v>
      </c>
      <c r="F21" s="110" t="s">
        <v>102</v>
      </c>
      <c r="G21" s="110" t="s">
        <v>149</v>
      </c>
      <c r="H21" s="110" t="s">
        <v>100</v>
      </c>
      <c r="I21" s="110" t="s">
        <v>127</v>
      </c>
      <c r="J21" s="110" t="s">
        <v>30</v>
      </c>
      <c r="K21" s="110">
        <v>1</v>
      </c>
      <c r="L21" s="111">
        <v>0.8</v>
      </c>
      <c r="M21" s="110" t="s">
        <v>59</v>
      </c>
      <c r="N21" s="110" t="s">
        <v>97</v>
      </c>
      <c r="O21" s="110" t="s">
        <v>83</v>
      </c>
      <c r="P21" s="132"/>
      <c r="Q21" s="133"/>
      <c r="R21" s="133"/>
      <c r="S21" s="50"/>
      <c r="T21" s="48"/>
      <c r="U21" s="51">
        <v>0</v>
      </c>
      <c r="V21" s="47"/>
      <c r="W21" s="52"/>
    </row>
    <row r="22" spans="1:23" s="43" customFormat="1" ht="30" x14ac:dyDescent="0.25">
      <c r="A22" s="110">
        <v>11</v>
      </c>
      <c r="B22" s="130" t="s">
        <v>151</v>
      </c>
      <c r="C22" s="129" t="s">
        <v>116</v>
      </c>
      <c r="D22" s="110" t="s">
        <v>34</v>
      </c>
      <c r="E22" s="110" t="s">
        <v>143</v>
      </c>
      <c r="F22" s="110" t="s">
        <v>102</v>
      </c>
      <c r="G22" s="110" t="s">
        <v>149</v>
      </c>
      <c r="H22" s="110" t="s">
        <v>100</v>
      </c>
      <c r="I22" s="110" t="s">
        <v>126</v>
      </c>
      <c r="J22" s="110" t="s">
        <v>30</v>
      </c>
      <c r="K22" s="110">
        <v>2</v>
      </c>
      <c r="L22" s="111">
        <v>0.5</v>
      </c>
      <c r="M22" s="110" t="s">
        <v>59</v>
      </c>
      <c r="N22" s="110" t="s">
        <v>97</v>
      </c>
      <c r="O22" s="110" t="s">
        <v>83</v>
      </c>
      <c r="P22" s="132"/>
      <c r="Q22" s="133"/>
      <c r="R22" s="133"/>
      <c r="S22" s="50"/>
      <c r="T22" s="48"/>
      <c r="U22" s="51">
        <v>0</v>
      </c>
      <c r="V22" s="47"/>
      <c r="W22" s="52"/>
    </row>
    <row r="23" spans="1:23" s="43" customFormat="1" ht="30" x14ac:dyDescent="0.25">
      <c r="A23" s="110">
        <v>12</v>
      </c>
      <c r="B23" s="129" t="s">
        <v>150</v>
      </c>
      <c r="C23" s="129" t="s">
        <v>116</v>
      </c>
      <c r="D23" s="110" t="s">
        <v>34</v>
      </c>
      <c r="E23" s="110" t="s">
        <v>143</v>
      </c>
      <c r="F23" s="110" t="s">
        <v>102</v>
      </c>
      <c r="G23" s="110" t="s">
        <v>149</v>
      </c>
      <c r="H23" s="110" t="s">
        <v>100</v>
      </c>
      <c r="I23" s="110" t="s">
        <v>125</v>
      </c>
      <c r="J23" s="110" t="s">
        <v>30</v>
      </c>
      <c r="K23" s="110" t="s">
        <v>124</v>
      </c>
      <c r="L23" s="111">
        <v>0.7</v>
      </c>
      <c r="M23" s="110" t="s">
        <v>59</v>
      </c>
      <c r="N23" s="110" t="s">
        <v>97</v>
      </c>
      <c r="O23" s="110" t="s">
        <v>83</v>
      </c>
      <c r="P23" s="132"/>
      <c r="Q23" s="133"/>
      <c r="R23" s="133"/>
      <c r="S23" s="50"/>
      <c r="T23" s="48"/>
      <c r="U23" s="51">
        <v>0</v>
      </c>
      <c r="V23" s="47"/>
      <c r="W23" s="52"/>
    </row>
    <row r="24" spans="1:23" s="43" customFormat="1" ht="30" x14ac:dyDescent="0.25">
      <c r="A24" s="110">
        <v>13</v>
      </c>
      <c r="B24" s="129" t="s">
        <v>150</v>
      </c>
      <c r="C24" s="129" t="s">
        <v>116</v>
      </c>
      <c r="D24" s="110" t="s">
        <v>34</v>
      </c>
      <c r="E24" s="110" t="s">
        <v>143</v>
      </c>
      <c r="F24" s="110" t="s">
        <v>102</v>
      </c>
      <c r="G24" s="110" t="s">
        <v>149</v>
      </c>
      <c r="H24" s="110" t="s">
        <v>100</v>
      </c>
      <c r="I24" s="110" t="s">
        <v>123</v>
      </c>
      <c r="J24" s="110" t="s">
        <v>30</v>
      </c>
      <c r="K24" s="110">
        <v>1</v>
      </c>
      <c r="L24" s="111">
        <v>0.6</v>
      </c>
      <c r="M24" s="110" t="s">
        <v>59</v>
      </c>
      <c r="N24" s="110" t="s">
        <v>97</v>
      </c>
      <c r="O24" s="110" t="s">
        <v>83</v>
      </c>
      <c r="P24" s="110" t="s">
        <v>96</v>
      </c>
      <c r="Q24" s="110" t="s">
        <v>95</v>
      </c>
      <c r="R24" s="110">
        <v>1</v>
      </c>
      <c r="S24" s="50"/>
      <c r="T24" s="48"/>
      <c r="U24" s="51">
        <v>0</v>
      </c>
      <c r="V24" s="47"/>
      <c r="W24" s="52"/>
    </row>
    <row r="25" spans="1:23" s="43" customFormat="1" ht="30" x14ac:dyDescent="0.25">
      <c r="A25" s="110">
        <v>14</v>
      </c>
      <c r="B25" s="129" t="s">
        <v>150</v>
      </c>
      <c r="C25" s="129" t="s">
        <v>116</v>
      </c>
      <c r="D25" s="110" t="s">
        <v>34</v>
      </c>
      <c r="E25" s="110" t="s">
        <v>143</v>
      </c>
      <c r="F25" s="110" t="s">
        <v>102</v>
      </c>
      <c r="G25" s="110" t="s">
        <v>149</v>
      </c>
      <c r="H25" s="110" t="s">
        <v>100</v>
      </c>
      <c r="I25" s="110" t="s">
        <v>122</v>
      </c>
      <c r="J25" s="110" t="s">
        <v>30</v>
      </c>
      <c r="K25" s="110">
        <v>1</v>
      </c>
      <c r="L25" s="111">
        <v>0.8</v>
      </c>
      <c r="M25" s="110" t="s">
        <v>59</v>
      </c>
      <c r="N25" s="110" t="s">
        <v>97</v>
      </c>
      <c r="O25" s="110" t="s">
        <v>83</v>
      </c>
      <c r="P25" s="110" t="s">
        <v>96</v>
      </c>
      <c r="Q25" s="110" t="s">
        <v>95</v>
      </c>
      <c r="R25" s="110">
        <v>1</v>
      </c>
      <c r="S25" s="50"/>
      <c r="T25" s="48"/>
      <c r="U25" s="51">
        <v>0</v>
      </c>
      <c r="V25" s="47"/>
      <c r="W25" s="52"/>
    </row>
    <row r="26" spans="1:23" s="43" customFormat="1" ht="30" x14ac:dyDescent="0.25">
      <c r="A26" s="110">
        <v>15</v>
      </c>
      <c r="B26" s="129" t="s">
        <v>150</v>
      </c>
      <c r="C26" s="129" t="s">
        <v>116</v>
      </c>
      <c r="D26" s="110" t="s">
        <v>34</v>
      </c>
      <c r="E26" s="110" t="s">
        <v>143</v>
      </c>
      <c r="F26" s="110" t="s">
        <v>102</v>
      </c>
      <c r="G26" s="110" t="s">
        <v>149</v>
      </c>
      <c r="H26" s="110" t="s">
        <v>100</v>
      </c>
      <c r="I26" s="110" t="s">
        <v>121</v>
      </c>
      <c r="J26" s="110" t="s">
        <v>30</v>
      </c>
      <c r="K26" s="110">
        <v>1</v>
      </c>
      <c r="L26" s="111">
        <v>0.7</v>
      </c>
      <c r="M26" s="110" t="s">
        <v>59</v>
      </c>
      <c r="N26" s="110" t="s">
        <v>97</v>
      </c>
      <c r="O26" s="110" t="s">
        <v>83</v>
      </c>
      <c r="P26" s="110" t="s">
        <v>120</v>
      </c>
      <c r="Q26" s="110" t="s">
        <v>95</v>
      </c>
      <c r="R26" s="110">
        <v>1</v>
      </c>
      <c r="S26" s="167"/>
      <c r="T26" s="166"/>
      <c r="U26" s="165">
        <v>0</v>
      </c>
      <c r="V26" s="164"/>
      <c r="W26" s="163"/>
    </row>
    <row r="27" spans="1:23" s="43" customFormat="1" ht="30" x14ac:dyDescent="0.25">
      <c r="A27" s="110">
        <v>16</v>
      </c>
      <c r="B27" s="130" t="s">
        <v>151</v>
      </c>
      <c r="C27" s="129" t="s">
        <v>116</v>
      </c>
      <c r="D27" s="110" t="s">
        <v>34</v>
      </c>
      <c r="E27" s="110" t="s">
        <v>143</v>
      </c>
      <c r="F27" s="110" t="s">
        <v>102</v>
      </c>
      <c r="G27" s="110" t="s">
        <v>149</v>
      </c>
      <c r="H27" s="110" t="s">
        <v>100</v>
      </c>
      <c r="I27" s="110" t="s">
        <v>118</v>
      </c>
      <c r="J27" s="110" t="s">
        <v>30</v>
      </c>
      <c r="K27" s="110" t="s">
        <v>98</v>
      </c>
      <c r="L27" s="111">
        <v>1</v>
      </c>
      <c r="M27" s="110" t="s">
        <v>59</v>
      </c>
      <c r="N27" s="110" t="s">
        <v>97</v>
      </c>
      <c r="O27" s="110" t="s">
        <v>83</v>
      </c>
      <c r="P27" s="110"/>
      <c r="Q27" s="110" t="s">
        <v>29</v>
      </c>
      <c r="R27" s="110"/>
      <c r="S27" s="50"/>
      <c r="T27" s="48"/>
      <c r="U27" s="51">
        <v>0</v>
      </c>
      <c r="V27" s="47"/>
      <c r="W27" s="52"/>
    </row>
    <row r="28" spans="1:23" s="43" customFormat="1" ht="45" x14ac:dyDescent="0.25">
      <c r="A28" s="110">
        <v>17</v>
      </c>
      <c r="B28" s="129" t="s">
        <v>150</v>
      </c>
      <c r="C28" s="129" t="s">
        <v>116</v>
      </c>
      <c r="D28" s="110" t="s">
        <v>34</v>
      </c>
      <c r="E28" s="110" t="s">
        <v>143</v>
      </c>
      <c r="F28" s="110" t="s">
        <v>102</v>
      </c>
      <c r="G28" s="110" t="s">
        <v>149</v>
      </c>
      <c r="H28" s="110" t="s">
        <v>100</v>
      </c>
      <c r="I28" s="110" t="s">
        <v>114</v>
      </c>
      <c r="J28" s="110" t="s">
        <v>30</v>
      </c>
      <c r="K28" s="110">
        <v>1</v>
      </c>
      <c r="L28" s="111">
        <v>2</v>
      </c>
      <c r="M28" s="110" t="s">
        <v>59</v>
      </c>
      <c r="N28" s="110" t="s">
        <v>97</v>
      </c>
      <c r="O28" s="110" t="s">
        <v>113</v>
      </c>
      <c r="P28" s="110"/>
      <c r="Q28" s="110"/>
      <c r="R28" s="110"/>
      <c r="S28" s="50"/>
      <c r="T28" s="48"/>
      <c r="U28" s="51">
        <v>0</v>
      </c>
      <c r="V28" s="47"/>
      <c r="W28" s="52"/>
    </row>
    <row r="29" spans="1:23" s="43" customFormat="1" ht="64.5" customHeight="1" x14ac:dyDescent="0.25">
      <c r="A29" s="110">
        <v>18</v>
      </c>
      <c r="B29" s="130" t="s">
        <v>148</v>
      </c>
      <c r="C29" s="129" t="s">
        <v>111</v>
      </c>
      <c r="D29" s="110" t="s">
        <v>34</v>
      </c>
      <c r="E29" s="110" t="s">
        <v>143</v>
      </c>
      <c r="F29" s="110" t="s">
        <v>102</v>
      </c>
      <c r="G29" s="110" t="s">
        <v>147</v>
      </c>
      <c r="H29" s="110" t="s">
        <v>100</v>
      </c>
      <c r="I29" s="110" t="s">
        <v>109</v>
      </c>
      <c r="J29" s="110" t="s">
        <v>30</v>
      </c>
      <c r="K29" s="110">
        <v>1</v>
      </c>
      <c r="L29" s="111">
        <v>1</v>
      </c>
      <c r="M29" s="110" t="s">
        <v>59</v>
      </c>
      <c r="N29" s="110" t="s">
        <v>97</v>
      </c>
      <c r="O29" s="110" t="s">
        <v>83</v>
      </c>
      <c r="P29" s="110"/>
      <c r="Q29" s="110"/>
      <c r="R29" s="110"/>
      <c r="S29" s="50"/>
      <c r="T29" s="48"/>
      <c r="U29" s="51"/>
      <c r="V29" s="47"/>
      <c r="W29" s="52"/>
    </row>
    <row r="30" spans="1:23" s="43" customFormat="1" ht="36.75" customHeight="1" x14ac:dyDescent="0.25">
      <c r="A30" s="110">
        <v>19</v>
      </c>
      <c r="B30" s="130" t="s">
        <v>146</v>
      </c>
      <c r="C30" s="129" t="s">
        <v>107</v>
      </c>
      <c r="D30" s="110" t="s">
        <v>34</v>
      </c>
      <c r="E30" s="110" t="s">
        <v>143</v>
      </c>
      <c r="F30" s="110" t="s">
        <v>102</v>
      </c>
      <c r="G30" s="110" t="s">
        <v>145</v>
      </c>
      <c r="H30" s="110" t="s">
        <v>100</v>
      </c>
      <c r="I30" s="110" t="s">
        <v>99</v>
      </c>
      <c r="J30" s="110" t="s">
        <v>30</v>
      </c>
      <c r="K30" s="110" t="s">
        <v>98</v>
      </c>
      <c r="L30" s="111">
        <v>0.4</v>
      </c>
      <c r="M30" s="110" t="s">
        <v>59</v>
      </c>
      <c r="N30" s="110" t="s">
        <v>97</v>
      </c>
      <c r="O30" s="110" t="s">
        <v>83</v>
      </c>
      <c r="P30" s="110" t="s">
        <v>96</v>
      </c>
      <c r="Q30" s="110" t="s">
        <v>95</v>
      </c>
      <c r="R30" s="110">
        <v>2</v>
      </c>
      <c r="S30" s="50"/>
      <c r="T30" s="48"/>
      <c r="U30" s="51"/>
      <c r="V30" s="47"/>
      <c r="W30" s="52"/>
    </row>
    <row r="31" spans="1:23" s="43" customFormat="1" ht="30" x14ac:dyDescent="0.25">
      <c r="A31" s="110">
        <v>20</v>
      </c>
      <c r="B31" s="130" t="s">
        <v>144</v>
      </c>
      <c r="C31" s="129" t="s">
        <v>104</v>
      </c>
      <c r="D31" s="110" t="s">
        <v>34</v>
      </c>
      <c r="E31" s="110" t="s">
        <v>143</v>
      </c>
      <c r="F31" s="110" t="s">
        <v>102</v>
      </c>
      <c r="G31" s="110" t="s">
        <v>142</v>
      </c>
      <c r="H31" s="110" t="s">
        <v>100</v>
      </c>
      <c r="I31" s="110" t="s">
        <v>99</v>
      </c>
      <c r="J31" s="110" t="s">
        <v>30</v>
      </c>
      <c r="K31" s="110" t="s">
        <v>98</v>
      </c>
      <c r="L31" s="111">
        <v>0.4</v>
      </c>
      <c r="M31" s="110" t="s">
        <v>59</v>
      </c>
      <c r="N31" s="110" t="s">
        <v>97</v>
      </c>
      <c r="O31" s="110" t="s">
        <v>83</v>
      </c>
      <c r="P31" s="110" t="s">
        <v>96</v>
      </c>
      <c r="Q31" s="110" t="s">
        <v>95</v>
      </c>
      <c r="R31" s="110">
        <v>2</v>
      </c>
      <c r="S31" s="50"/>
      <c r="T31" s="48"/>
      <c r="U31" s="51"/>
      <c r="V31" s="47"/>
      <c r="W31" s="52"/>
    </row>
    <row r="32" spans="1:23" s="43" customFormat="1" ht="15" x14ac:dyDescent="0.25">
      <c r="A32" s="118"/>
      <c r="B32" s="123"/>
      <c r="C32" s="116"/>
      <c r="D32" s="118"/>
      <c r="E32" s="118"/>
      <c r="F32" s="118"/>
      <c r="G32" s="118"/>
      <c r="H32" s="118"/>
      <c r="I32" s="118"/>
      <c r="J32" s="118"/>
      <c r="K32" s="118"/>
      <c r="L32" s="162">
        <f>SUM(L13:L31)</f>
        <v>12.8</v>
      </c>
      <c r="M32" s="118"/>
      <c r="N32" s="118"/>
      <c r="O32" s="118"/>
      <c r="P32" s="152"/>
      <c r="Q32" s="159"/>
      <c r="R32" s="161"/>
      <c r="S32" s="160"/>
      <c r="T32" s="159"/>
      <c r="U32" s="158"/>
      <c r="V32" s="157"/>
      <c r="W32" s="156"/>
    </row>
    <row r="33" spans="1:23" s="43" customFormat="1" ht="15" x14ac:dyDescent="0.25">
      <c r="A33" s="118"/>
      <c r="B33" s="123"/>
      <c r="C33" s="116"/>
      <c r="D33" s="118"/>
      <c r="E33" s="118"/>
      <c r="F33" s="118"/>
      <c r="G33" s="118"/>
      <c r="H33" s="118"/>
      <c r="I33" s="118"/>
      <c r="J33" s="118"/>
      <c r="K33" s="118"/>
      <c r="L33" s="118"/>
      <c r="M33" s="118"/>
      <c r="N33" s="118"/>
      <c r="O33" s="118"/>
      <c r="P33" s="152"/>
      <c r="Q33" s="159"/>
      <c r="R33" s="161"/>
      <c r="S33" s="160"/>
      <c r="T33" s="159"/>
      <c r="U33" s="158"/>
      <c r="V33" s="157"/>
      <c r="W33" s="156"/>
    </row>
    <row r="34" spans="1:23" s="43" customFormat="1" ht="15" x14ac:dyDescent="0.25">
      <c r="A34" s="118"/>
      <c r="B34" s="123"/>
      <c r="C34" s="116"/>
      <c r="D34" s="118"/>
      <c r="E34" s="118"/>
      <c r="F34" s="118"/>
      <c r="G34" s="118"/>
      <c r="H34" s="118"/>
      <c r="I34" s="118"/>
      <c r="J34" s="118"/>
      <c r="K34" s="118"/>
      <c r="L34" s="118"/>
      <c r="M34" s="118"/>
      <c r="N34" s="118"/>
      <c r="O34" s="118"/>
      <c r="P34" s="152"/>
      <c r="Q34" s="159"/>
      <c r="R34" s="161"/>
      <c r="S34" s="160"/>
      <c r="T34" s="159"/>
      <c r="U34" s="158"/>
      <c r="V34" s="157"/>
      <c r="W34" s="156"/>
    </row>
    <row r="35" spans="1:23" x14ac:dyDescent="0.25">
      <c r="A35" s="118"/>
      <c r="B35" s="123"/>
      <c r="C35" s="116"/>
      <c r="D35" s="118"/>
      <c r="E35" s="118"/>
      <c r="F35" s="118"/>
      <c r="G35" s="118"/>
      <c r="H35" s="118"/>
      <c r="I35" s="155"/>
      <c r="J35" s="154"/>
      <c r="K35" s="117"/>
      <c r="L35" s="117"/>
      <c r="M35" s="117"/>
      <c r="N35" s="153"/>
      <c r="O35" s="115"/>
      <c r="P35" s="152"/>
      <c r="Q35" s="115"/>
      <c r="R35" s="114"/>
      <c r="S35" s="118"/>
      <c r="T35" s="115"/>
      <c r="U35" s="151"/>
      <c r="V35" s="116"/>
      <c r="W35" s="150"/>
    </row>
    <row r="36" spans="1:23" x14ac:dyDescent="0.25">
      <c r="A36" s="118"/>
      <c r="B36" s="123"/>
      <c r="C36" s="116"/>
      <c r="D36" s="118"/>
      <c r="E36" s="118"/>
      <c r="F36" s="118"/>
      <c r="G36" s="118"/>
      <c r="H36" s="118"/>
      <c r="I36" s="155"/>
      <c r="J36" s="154"/>
      <c r="K36" s="117"/>
      <c r="L36" s="117"/>
      <c r="M36" s="117"/>
      <c r="N36" s="153"/>
      <c r="O36" s="115"/>
      <c r="P36" s="152"/>
      <c r="Q36" s="115"/>
      <c r="R36" s="114"/>
      <c r="S36" s="118"/>
      <c r="T36" s="115"/>
      <c r="U36" s="151"/>
      <c r="V36" s="116"/>
      <c r="W36" s="150"/>
    </row>
    <row r="37" spans="1:23" ht="15" x14ac:dyDescent="0.25">
      <c r="H37" s="197" t="s">
        <v>23</v>
      </c>
      <c r="I37" s="197"/>
      <c r="J37" s="36"/>
      <c r="K37" s="117"/>
      <c r="L37" s="117"/>
      <c r="M37" s="117"/>
      <c r="N37" s="116"/>
      <c r="O37" s="115"/>
      <c r="P37" s="116"/>
      <c r="Q37" s="115"/>
      <c r="R37" s="114"/>
    </row>
    <row r="38" spans="1:23" x14ac:dyDescent="0.25">
      <c r="H38" s="118"/>
      <c r="I38" s="149"/>
      <c r="J38" s="36"/>
      <c r="K38" s="117"/>
      <c r="L38" s="117"/>
      <c r="M38" s="117"/>
      <c r="N38" s="116"/>
      <c r="O38" s="115"/>
      <c r="P38" s="116"/>
      <c r="Q38" s="115"/>
      <c r="R38" s="114"/>
    </row>
    <row r="39" spans="1:23" x14ac:dyDescent="0.25">
      <c r="I39" s="148" t="s">
        <v>32</v>
      </c>
      <c r="K39" s="198" t="s">
        <v>79</v>
      </c>
      <c r="L39" s="198"/>
      <c r="M39" s="198"/>
      <c r="N39" s="198"/>
      <c r="O39" s="198"/>
      <c r="Q39" s="113"/>
      <c r="R39" s="113"/>
    </row>
    <row r="40" spans="1:23" x14ac:dyDescent="0.25">
      <c r="K40" s="196" t="s">
        <v>24</v>
      </c>
      <c r="L40" s="196"/>
      <c r="M40" s="196"/>
      <c r="N40" s="196"/>
      <c r="O40" s="196"/>
      <c r="Q40" s="196" t="s">
        <v>25</v>
      </c>
      <c r="R40" s="196"/>
    </row>
    <row r="41" spans="1:23" x14ac:dyDescent="0.25">
      <c r="I41" s="148" t="s">
        <v>94</v>
      </c>
      <c r="K41" s="198" t="s">
        <v>78</v>
      </c>
      <c r="L41" s="198"/>
      <c r="M41" s="198"/>
      <c r="N41" s="198"/>
      <c r="O41" s="198"/>
      <c r="Q41" s="113"/>
      <c r="R41" s="113"/>
    </row>
    <row r="42" spans="1:23" x14ac:dyDescent="0.25">
      <c r="K42" s="196" t="s">
        <v>24</v>
      </c>
      <c r="L42" s="196"/>
      <c r="M42" s="196"/>
      <c r="N42" s="196"/>
      <c r="O42" s="196"/>
      <c r="Q42" s="196" t="s">
        <v>25</v>
      </c>
      <c r="R42" s="196"/>
    </row>
  </sheetData>
  <autoFilter ref="A11:U11" xr:uid="{00000000-0009-0000-0000-000000000000}"/>
  <mergeCells count="29">
    <mergeCell ref="W9:W10"/>
    <mergeCell ref="T9:V9"/>
    <mergeCell ref="R1:T1"/>
    <mergeCell ref="R2:T2"/>
    <mergeCell ref="R4:T4"/>
    <mergeCell ref="R5:T5"/>
    <mergeCell ref="R3:U3"/>
    <mergeCell ref="P9:S9"/>
    <mergeCell ref="H7:Q7"/>
    <mergeCell ref="Q40:R40"/>
    <mergeCell ref="L9:L10"/>
    <mergeCell ref="M9:M10"/>
    <mergeCell ref="K41:O41"/>
    <mergeCell ref="K42:O42"/>
    <mergeCell ref="Q42:R42"/>
    <mergeCell ref="I9:K9"/>
    <mergeCell ref="N9:N10"/>
    <mergeCell ref="O9:O10"/>
    <mergeCell ref="H37:I37"/>
    <mergeCell ref="K40:O40"/>
    <mergeCell ref="K39:O39"/>
    <mergeCell ref="A9:A10"/>
    <mergeCell ref="B9:B10"/>
    <mergeCell ref="C9:C10"/>
    <mergeCell ref="D9:D10"/>
    <mergeCell ref="H9:H10"/>
    <mergeCell ref="E9:E10"/>
    <mergeCell ref="F9:F10"/>
    <mergeCell ref="G9:G10"/>
  </mergeCells>
  <pageMargins left="0.31496062992125984" right="0.31496062992125984" top="0.35433070866141736" bottom="0.35433070866141736" header="0.31496062992125984" footer="0.31496062992125984"/>
  <pageSetup paperSize="8" scale="58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ДКУ ПГ-1</vt:lpstr>
      <vt:lpstr>ДКУ ПГ-2</vt:lpstr>
      <vt:lpstr>КСВ-1</vt:lpstr>
      <vt:lpstr>КСВ-2</vt:lpstr>
      <vt:lpstr>'ДКУ ПГ-2'!fsavd</vt:lpstr>
      <vt:lpstr>'КСВ-1'!fsavd</vt:lpstr>
      <vt:lpstr>'КСВ-2'!fsavd</vt:lpstr>
      <vt:lpstr>fsavd</vt:lpstr>
      <vt:lpstr>'ДКУ ПГ-2'!lt_table</vt:lpstr>
      <vt:lpstr>'КСВ-1'!lt_table</vt:lpstr>
      <vt:lpstr>'КСВ-2'!lt_table</vt:lpstr>
      <vt:lpstr>lt_table</vt:lpstr>
      <vt:lpstr>'ДКУ ПГ-2'!tab</vt:lpstr>
      <vt:lpstr>'КСВ-1'!tab</vt:lpstr>
      <vt:lpstr>'КСВ-2'!tab</vt:lpstr>
      <vt:lpstr>tab</vt:lpstr>
      <vt:lpstr>'ДКУ ПГ-2'!tplnr1</vt:lpstr>
      <vt:lpstr>'КСВ-1'!tplnr1</vt:lpstr>
      <vt:lpstr>'КСВ-2'!tplnr1</vt:lpstr>
      <vt:lpstr>tplnr1</vt:lpstr>
      <vt:lpstr>'ДКУ ПГ-2'!tplnr2</vt:lpstr>
      <vt:lpstr>'КСВ-1'!tplnr2</vt:lpstr>
      <vt:lpstr>'КСВ-2'!tplnr2</vt:lpstr>
      <vt:lpstr>tplnr2</vt:lpstr>
      <vt:lpstr>'ДКУ ПГ-2'!Я_МАКРОС1</vt:lpstr>
      <vt:lpstr>'КСВ-1'!Я_МАКРОС1</vt:lpstr>
      <vt:lpstr>'КСВ-2'!Я_МАКРОС1</vt:lpstr>
      <vt:lpstr>Я_МАКРОС1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2026-04-27T07:01:13Z</dcterms:modified>
</cp:coreProperties>
</file>